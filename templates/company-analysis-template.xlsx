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twjdqls/Desktop/"/>
    </mc:Choice>
  </mc:AlternateContent>
  <xr:revisionPtr revIDLastSave="0" documentId="13_ncr:1_{E59D0D71-AFF5-DB4B-B77C-62F14466E2ED}" xr6:coauthVersionLast="47" xr6:coauthVersionMax="47" xr10:uidLastSave="{00000000-0000-0000-0000-000000000000}"/>
  <bookViews>
    <workbookView xWindow="3020" yWindow="1120" windowWidth="14620" windowHeight="15500" tabRatio="500" xr2:uid="{00000000-000D-0000-FFFF-FFFF00000000}"/>
  </bookViews>
  <sheets>
    <sheet name="Summary" sheetId="1" r:id="rId1"/>
    <sheet name="1" sheetId="2" r:id="rId2"/>
    <sheet name="2" sheetId="3" r:id="rId3"/>
    <sheet name="3" sheetId="4" r:id="rId4"/>
  </sheets>
  <definedNames>
    <definedName name="_xlnm.Print_Area" localSheetId="0">Summary!$B$2:$AA$55</definedName>
    <definedName name="_xlnm.Print_Titles" localSheetId="0">Summary!$1:$4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1" l="1"/>
  <c r="C19" i="4"/>
  <c r="B19" i="4"/>
  <c r="F17" i="4"/>
  <c r="F19" i="4" s="1"/>
  <c r="E17" i="4"/>
  <c r="E19" i="4" s="1"/>
  <c r="D17" i="4"/>
  <c r="D19" i="4" s="1"/>
  <c r="C17" i="4"/>
  <c r="B17" i="4"/>
  <c r="F10" i="4"/>
  <c r="E10" i="4"/>
  <c r="D10" i="4"/>
  <c r="C10" i="4"/>
  <c r="B10" i="4"/>
  <c r="F17" i="3"/>
  <c r="F19" i="3" s="1"/>
  <c r="E17" i="3"/>
  <c r="E19" i="3" s="1"/>
  <c r="D17" i="3"/>
  <c r="D19" i="3" s="1"/>
  <c r="C17" i="3"/>
  <c r="C19" i="3" s="1"/>
  <c r="B17" i="3"/>
  <c r="B19" i="3" s="1"/>
  <c r="F10" i="3"/>
  <c r="E10" i="3"/>
  <c r="D10" i="3"/>
  <c r="C10" i="3"/>
  <c r="B10" i="3"/>
  <c r="B17" i="2" l="1"/>
  <c r="E15" i="1" s="1"/>
  <c r="C17" i="2"/>
  <c r="C19" i="2" s="1"/>
  <c r="D17" i="2"/>
  <c r="G15" i="1" s="1"/>
  <c r="E17" i="2"/>
  <c r="H15" i="1" s="1"/>
  <c r="F17" i="2"/>
  <c r="F19" i="2" s="1"/>
  <c r="B10" i="2"/>
  <c r="E7" i="1" s="1"/>
  <c r="C10" i="2"/>
  <c r="F7" i="1" s="1"/>
  <c r="D10" i="2"/>
  <c r="G7" i="1" s="1"/>
  <c r="E10" i="2"/>
  <c r="H7" i="1" s="1"/>
  <c r="F10" i="2"/>
  <c r="I7" i="1" s="1"/>
  <c r="C10" i="1" s="1"/>
  <c r="N23" i="1"/>
  <c r="G51" i="1"/>
  <c r="I51" i="1"/>
  <c r="F51" i="1"/>
  <c r="I41" i="1"/>
  <c r="I34" i="1"/>
  <c r="F34" i="1"/>
  <c r="H34" i="1"/>
  <c r="F32" i="1"/>
  <c r="E34" i="1"/>
  <c r="H24" i="1"/>
  <c r="I55" i="1"/>
  <c r="H55" i="1"/>
  <c r="G55" i="1"/>
  <c r="F55" i="1"/>
  <c r="E55" i="1"/>
  <c r="I54" i="1"/>
  <c r="H54" i="1"/>
  <c r="G54" i="1"/>
  <c r="F54" i="1"/>
  <c r="E54" i="1"/>
  <c r="I53" i="1"/>
  <c r="H53" i="1"/>
  <c r="G53" i="1"/>
  <c r="F53" i="1"/>
  <c r="E53" i="1"/>
  <c r="H51" i="1"/>
  <c r="E51" i="1"/>
  <c r="I50" i="1"/>
  <c r="H50" i="1"/>
  <c r="G50" i="1"/>
  <c r="F50" i="1"/>
  <c r="E50" i="1"/>
  <c r="I49" i="1"/>
  <c r="H49" i="1"/>
  <c r="G49" i="1"/>
  <c r="F49" i="1"/>
  <c r="E49" i="1"/>
  <c r="J49" i="1" s="1"/>
  <c r="I48" i="1"/>
  <c r="I52" i="1" s="1"/>
  <c r="H48" i="1"/>
  <c r="G48" i="1"/>
  <c r="F48" i="1"/>
  <c r="E48" i="1"/>
  <c r="I47" i="1"/>
  <c r="H47" i="1"/>
  <c r="G47" i="1"/>
  <c r="F47" i="1"/>
  <c r="F52" i="1" s="1"/>
  <c r="E47" i="1"/>
  <c r="J47" i="1" s="1"/>
  <c r="I46" i="1"/>
  <c r="H46" i="1"/>
  <c r="G46" i="1"/>
  <c r="F46" i="1"/>
  <c r="E46" i="1"/>
  <c r="I42" i="1"/>
  <c r="H42" i="1"/>
  <c r="G42" i="1"/>
  <c r="F42" i="1"/>
  <c r="E42" i="1"/>
  <c r="H41" i="1"/>
  <c r="G41" i="1"/>
  <c r="F41" i="1"/>
  <c r="E41" i="1"/>
  <c r="E44" i="1" s="1"/>
  <c r="C41" i="1"/>
  <c r="I40" i="1"/>
  <c r="H40" i="1"/>
  <c r="G40" i="1"/>
  <c r="F40" i="1"/>
  <c r="E40" i="1"/>
  <c r="C40" i="1"/>
  <c r="I39" i="1"/>
  <c r="C43" i="1" s="1"/>
  <c r="H39" i="1"/>
  <c r="G39" i="1"/>
  <c r="F39" i="1"/>
  <c r="E39" i="1"/>
  <c r="I38" i="1"/>
  <c r="H38" i="1"/>
  <c r="G38" i="1"/>
  <c r="F38" i="1"/>
  <c r="E38" i="1"/>
  <c r="I37" i="1"/>
  <c r="H37" i="1"/>
  <c r="G37" i="1"/>
  <c r="F37" i="1"/>
  <c r="E37" i="1"/>
  <c r="I36" i="1"/>
  <c r="H36" i="1"/>
  <c r="G36" i="1"/>
  <c r="F36" i="1"/>
  <c r="E36" i="1"/>
  <c r="G34" i="1"/>
  <c r="I33" i="1"/>
  <c r="H33" i="1"/>
  <c r="G33" i="1"/>
  <c r="F33" i="1"/>
  <c r="E33" i="1"/>
  <c r="I32" i="1"/>
  <c r="H32" i="1"/>
  <c r="G32" i="1"/>
  <c r="E32" i="1"/>
  <c r="I31" i="1"/>
  <c r="H31" i="1"/>
  <c r="G31" i="1"/>
  <c r="F31" i="1"/>
  <c r="E31" i="1"/>
  <c r="I30" i="1"/>
  <c r="H30" i="1"/>
  <c r="G30" i="1"/>
  <c r="F30" i="1"/>
  <c r="E30" i="1"/>
  <c r="I29" i="1"/>
  <c r="H29" i="1"/>
  <c r="G29" i="1"/>
  <c r="F29" i="1"/>
  <c r="E29" i="1"/>
  <c r="I25" i="1"/>
  <c r="I28" i="1" s="1"/>
  <c r="H25" i="1"/>
  <c r="G25" i="1"/>
  <c r="F25" i="1"/>
  <c r="E25" i="1"/>
  <c r="I24" i="1"/>
  <c r="G24" i="1"/>
  <c r="F24" i="1"/>
  <c r="E24" i="1"/>
  <c r="C24" i="1"/>
  <c r="I23" i="1"/>
  <c r="I26" i="1" s="1"/>
  <c r="H23" i="1"/>
  <c r="G23" i="1"/>
  <c r="G26" i="1" s="1"/>
  <c r="F23" i="1"/>
  <c r="E23" i="1"/>
  <c r="C23" i="1"/>
  <c r="I22" i="1"/>
  <c r="C26" i="1" s="1"/>
  <c r="H22" i="1"/>
  <c r="H28" i="1" s="1"/>
  <c r="G22" i="1"/>
  <c r="F22" i="1"/>
  <c r="E22" i="1"/>
  <c r="J22" i="1" s="1"/>
  <c r="I21" i="1"/>
  <c r="H21" i="1"/>
  <c r="G21" i="1"/>
  <c r="F21" i="1"/>
  <c r="E21" i="1"/>
  <c r="I20" i="1"/>
  <c r="H20" i="1"/>
  <c r="G20" i="1"/>
  <c r="F20" i="1"/>
  <c r="E20" i="1"/>
  <c r="I19" i="1"/>
  <c r="H19" i="1"/>
  <c r="G19" i="1"/>
  <c r="F19" i="1"/>
  <c r="E19" i="1"/>
  <c r="I16" i="1"/>
  <c r="H16" i="1"/>
  <c r="G16" i="1"/>
  <c r="F16" i="1"/>
  <c r="E16" i="1"/>
  <c r="I14" i="1"/>
  <c r="H14" i="1"/>
  <c r="G14" i="1"/>
  <c r="F14" i="1"/>
  <c r="E14" i="1"/>
  <c r="I13" i="1"/>
  <c r="H13" i="1"/>
  <c r="G13" i="1"/>
  <c r="F13" i="1"/>
  <c r="E13" i="1"/>
  <c r="I12" i="1"/>
  <c r="H12" i="1"/>
  <c r="G12" i="1"/>
  <c r="F12" i="1"/>
  <c r="E12" i="1"/>
  <c r="I8" i="1"/>
  <c r="H8" i="1"/>
  <c r="G8" i="1"/>
  <c r="F8" i="1"/>
  <c r="E8" i="1"/>
  <c r="C7" i="1"/>
  <c r="N6" i="1"/>
  <c r="C8" i="1" s="1"/>
  <c r="I6" i="1"/>
  <c r="H6" i="1"/>
  <c r="G6" i="1"/>
  <c r="F6" i="1"/>
  <c r="E6" i="1"/>
  <c r="I5" i="1"/>
  <c r="C9" i="1" s="1"/>
  <c r="H5" i="1"/>
  <c r="G5" i="1"/>
  <c r="F5" i="1"/>
  <c r="E5" i="1"/>
  <c r="F11" i="1" l="1"/>
  <c r="F10" i="1"/>
  <c r="I15" i="1"/>
  <c r="F18" i="1"/>
  <c r="F9" i="1"/>
  <c r="E19" i="2"/>
  <c r="F15" i="1"/>
  <c r="F17" i="1" s="1"/>
  <c r="D19" i="2"/>
  <c r="B19" i="2"/>
  <c r="I9" i="1"/>
  <c r="J5" i="1"/>
  <c r="H45" i="1"/>
  <c r="J40" i="1"/>
  <c r="H43" i="1"/>
  <c r="F35" i="1"/>
  <c r="H27" i="1"/>
  <c r="E26" i="1"/>
  <c r="J26" i="1" s="1"/>
  <c r="G27" i="1"/>
  <c r="H35" i="1"/>
  <c r="F27" i="1"/>
  <c r="F26" i="1"/>
  <c r="I27" i="1"/>
  <c r="J6" i="1"/>
  <c r="H9" i="1"/>
  <c r="I11" i="1"/>
  <c r="G18" i="1"/>
  <c r="H18" i="1"/>
  <c r="J39" i="1"/>
  <c r="H52" i="1"/>
  <c r="F43" i="1"/>
  <c r="E45" i="1"/>
  <c r="E28" i="1"/>
  <c r="J31" i="1"/>
  <c r="N25" i="1"/>
  <c r="N26" i="1" s="1"/>
  <c r="C29" i="1" s="1"/>
  <c r="G28" i="1"/>
  <c r="J33" i="1"/>
  <c r="E35" i="1"/>
  <c r="I18" i="1"/>
  <c r="G17" i="1"/>
  <c r="J12" i="1"/>
  <c r="J7" i="1"/>
  <c r="H11" i="1"/>
  <c r="E18" i="1"/>
  <c r="F45" i="1"/>
  <c r="J48" i="1"/>
  <c r="G10" i="1"/>
  <c r="I35" i="1"/>
  <c r="G45" i="1"/>
  <c r="G9" i="1"/>
  <c r="H10" i="1"/>
  <c r="H26" i="1"/>
  <c r="C25" i="1"/>
  <c r="G35" i="1"/>
  <c r="I43" i="1"/>
  <c r="E52" i="1"/>
  <c r="J50" i="1"/>
  <c r="J29" i="1"/>
  <c r="F44" i="1"/>
  <c r="J42" i="1"/>
  <c r="J46" i="1"/>
  <c r="J28" i="1"/>
  <c r="G43" i="1"/>
  <c r="J25" i="1"/>
  <c r="E11" i="1"/>
  <c r="J16" i="1"/>
  <c r="F28" i="1"/>
  <c r="G44" i="1"/>
  <c r="G52" i="1"/>
  <c r="G11" i="1"/>
  <c r="J14" i="1"/>
  <c r="H17" i="1"/>
  <c r="E27" i="1"/>
  <c r="J32" i="1"/>
  <c r="H44" i="1"/>
  <c r="J41" i="1"/>
  <c r="C44" i="1"/>
  <c r="I44" i="1"/>
  <c r="J44" i="1"/>
  <c r="J13" i="1"/>
  <c r="J23" i="1"/>
  <c r="J24" i="1"/>
  <c r="E43" i="1"/>
  <c r="E9" i="1"/>
  <c r="N24" i="1"/>
  <c r="C28" i="1" s="1"/>
  <c r="I45" i="1"/>
  <c r="J45" i="1" s="1"/>
  <c r="E10" i="1"/>
  <c r="I10" i="1"/>
  <c r="E17" i="1"/>
  <c r="J8" i="1"/>
  <c r="J30" i="1"/>
  <c r="C27" i="1"/>
  <c r="N7" i="1"/>
  <c r="C11" i="1" s="1"/>
  <c r="J15" i="1" l="1"/>
  <c r="I17" i="1"/>
  <c r="N8" i="1" s="1"/>
  <c r="N9" i="1" s="1"/>
  <c r="C12" i="1" s="1"/>
  <c r="J11" i="1"/>
  <c r="J9" i="1"/>
  <c r="J43" i="1"/>
  <c r="J27" i="1"/>
  <c r="J10" i="1"/>
  <c r="N40" i="1"/>
  <c r="C42" i="1" s="1"/>
  <c r="N42" i="1" l="1"/>
  <c r="N43" i="1" s="1"/>
  <c r="C46" i="1" s="1"/>
  <c r="N41" i="1"/>
  <c r="C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Claude</author>
  </authors>
  <commentList>
    <comment ref="L6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user:
</t>
        </r>
        <r>
          <rPr>
            <sz val="10"/>
            <color rgb="FF000000"/>
            <rFont val="맑은 고딕"/>
            <family val="2"/>
            <charset val="129"/>
          </rPr>
          <t>유통주식수가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맑은 고딕"/>
            <family val="2"/>
            <charset val="129"/>
          </rPr>
          <t>작아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맑은 고딕"/>
            <family val="2"/>
            <charset val="129"/>
          </rPr>
          <t>주어진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맑은 고딕"/>
            <family val="2"/>
            <charset val="129"/>
          </rPr>
          <t>동종업계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PER</t>
        </r>
        <r>
          <rPr>
            <sz val="10"/>
            <color rgb="FF000000"/>
            <rFont val="Arial"/>
            <family val="2"/>
          </rPr>
          <t>에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입각해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시가총액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계산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시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주가가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비정상적으로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높게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나온다</t>
        </r>
        <r>
          <rPr>
            <sz val="10"/>
            <color rgb="FF000000"/>
            <rFont val="Arial"/>
            <family val="2"/>
          </rPr>
          <t>.</t>
        </r>
      </text>
    </comment>
    <comment ref="M6" authorId="1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Source: </t>
        </r>
        <r>
          <rPr>
            <sz val="10"/>
            <color rgb="FF000000"/>
            <rFont val="Arial"/>
            <family val="2"/>
          </rPr>
          <t>웹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검색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기준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 xml:space="preserve">2026.01.25 </t>
        </r>
        <r>
          <rPr>
            <sz val="10"/>
            <color rgb="FF000000"/>
            <rFont val="Arial"/>
            <family val="2"/>
          </rPr>
          <t>종가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15,130</t>
        </r>
        <r>
          <rPr>
            <sz val="10"/>
            <color rgb="FF000000"/>
            <rFont val="Arial"/>
            <family val="2"/>
          </rPr>
          <t>원</t>
        </r>
        <r>
          <rPr>
            <sz val="10"/>
            <color rgb="FF000000"/>
            <rFont val="DejaVu Sans"/>
          </rPr>
          <t xml:space="preserve">
</t>
        </r>
        <r>
          <rPr>
            <sz val="10"/>
            <color rgb="FF000000"/>
            <rFont val="Arial"/>
            <family val="2"/>
          </rPr>
          <t>최신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주가로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업데이트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>필요</t>
        </r>
        <r>
          <rPr>
            <sz val="10"/>
            <color rgb="FF000000"/>
            <rFont val="DejaVu Sans"/>
          </rPr>
          <t xml:space="preserve"> </t>
        </r>
        <r>
          <rPr>
            <sz val="10"/>
            <color rgb="FF000000"/>
            <rFont val="Arial"/>
            <family val="2"/>
          </rPr>
          <t xml:space="preserve">(Finance.naver.com </t>
        </r>
        <r>
          <rPr>
            <sz val="10"/>
            <color rgb="FF000000"/>
            <rFont val="Arial"/>
            <family val="2"/>
          </rPr>
          <t>참조</t>
        </r>
        <r>
          <rPr>
            <sz val="10"/>
            <color rgb="FF000000"/>
            <rFont val="Arial"/>
            <family val="2"/>
          </rPr>
          <t>)</t>
        </r>
      </text>
    </comment>
    <comment ref="L23" authorId="0" shapeId="0" xr:uid="{00000000-0006-0000-0000-000002000000}">
      <text>
        <r>
          <rPr>
            <sz val="10"/>
            <rFont val="Arial"/>
            <family val="2"/>
          </rPr>
          <t xml:space="preserve">user:
</t>
        </r>
        <r>
          <rPr>
            <sz val="10"/>
            <rFont val="DejaVu Sans"/>
            <family val="2"/>
          </rPr>
          <t xml:space="preserve">유통주식수가 작아 동종업계 </t>
        </r>
        <r>
          <rPr>
            <sz val="10"/>
            <rFont val="Arial"/>
            <family val="2"/>
          </rPr>
          <t>PER</t>
        </r>
        <r>
          <rPr>
            <sz val="10"/>
            <rFont val="DejaVu Sans"/>
            <family val="2"/>
          </rPr>
          <t>에 입각해 시가총액 계산 시 주가가 비정상적으로 높게 나온다</t>
        </r>
        <r>
          <rPr>
            <sz val="10"/>
            <rFont val="Arial"/>
            <family val="2"/>
          </rPr>
          <t xml:space="preserve">. </t>
        </r>
      </text>
    </comment>
  </commentList>
</comments>
</file>

<file path=xl/sharedStrings.xml><?xml version="1.0" encoding="utf-8"?>
<sst xmlns="http://schemas.openxmlformats.org/spreadsheetml/2006/main" count="253" uniqueCount="79">
  <si>
    <t>Corporate analysis</t>
  </si>
  <si>
    <t>Summary</t>
  </si>
  <si>
    <t>CAGR (2020~24)</t>
  </si>
  <si>
    <t>Financials</t>
  </si>
  <si>
    <t>Industry/Corporate Analysis</t>
  </si>
  <si>
    <t>Investment Highlights / Risk Factors</t>
  </si>
  <si>
    <t>Comments</t>
  </si>
  <si>
    <t>No.</t>
  </si>
  <si>
    <t>매출액</t>
  </si>
  <si>
    <r>
      <rPr>
        <sz val="11"/>
        <rFont val="맑은 고딕"/>
        <family val="3"/>
        <charset val="129"/>
      </rPr>
      <t>(</t>
    </r>
    <r>
      <rPr>
        <sz val="11"/>
        <rFont val="DejaVu Sans"/>
        <family val="2"/>
      </rPr>
      <t>단위</t>
    </r>
    <r>
      <rPr>
        <sz val="11"/>
        <rFont val="맑은 고딕"/>
        <family val="3"/>
        <charset val="129"/>
      </rPr>
      <t>:</t>
    </r>
    <r>
      <rPr>
        <sz val="11"/>
        <rFont val="DejaVu Sans"/>
        <family val="2"/>
      </rPr>
      <t>백만원</t>
    </r>
    <r>
      <rPr>
        <sz val="11"/>
        <rFont val="맑은 고딕"/>
        <family val="3"/>
        <charset val="129"/>
      </rPr>
      <t>)</t>
    </r>
  </si>
  <si>
    <t>No. of Shares</t>
  </si>
  <si>
    <t>Stock Price</t>
  </si>
  <si>
    <t>Market Cap</t>
  </si>
  <si>
    <t>현금흐름 분석</t>
  </si>
  <si>
    <r>
      <rPr>
        <b/>
        <sz val="11"/>
        <rFont val="DejaVu Sans"/>
        <family val="2"/>
      </rPr>
      <t xml:space="preserve">현금성자산 </t>
    </r>
    <r>
      <rPr>
        <b/>
        <sz val="11"/>
        <rFont val="DejaVu Sans"/>
        <family val="2"/>
        <charset val="1"/>
      </rPr>
      <t xml:space="preserve">/ </t>
    </r>
    <r>
      <rPr>
        <b/>
        <sz val="11"/>
        <rFont val="DejaVu Sans"/>
        <family val="2"/>
      </rPr>
      <t>부채비율</t>
    </r>
  </si>
  <si>
    <t>회사명</t>
  </si>
  <si>
    <t>EBIT</t>
  </si>
  <si>
    <t>상장여부</t>
  </si>
  <si>
    <t>EBITDA</t>
  </si>
  <si>
    <t>PER</t>
  </si>
  <si>
    <t>시가총액</t>
  </si>
  <si>
    <r>
      <rPr>
        <sz val="11"/>
        <rFont val="DejaVu Sans"/>
        <family val="2"/>
      </rPr>
      <t>당기순이익</t>
    </r>
    <r>
      <rPr>
        <sz val="11"/>
        <rFont val="DejaVu Sans"/>
        <family val="2"/>
        <charset val="1"/>
      </rPr>
      <t>(</t>
    </r>
    <r>
      <rPr>
        <sz val="11"/>
        <rFont val="DejaVu Sans"/>
        <family val="2"/>
      </rPr>
      <t>손실</t>
    </r>
    <r>
      <rPr>
        <sz val="11"/>
        <rFont val="DejaVu Sans"/>
        <family val="2"/>
        <charset val="1"/>
      </rPr>
      <t>)</t>
    </r>
  </si>
  <si>
    <t>EV (Enterprise Value)</t>
  </si>
  <si>
    <r>
      <rPr>
        <sz val="11"/>
        <color rgb="FFC00000"/>
        <rFont val="맑은 고딕"/>
        <family val="3"/>
        <charset val="129"/>
      </rPr>
      <t>EBIT/</t>
    </r>
    <r>
      <rPr>
        <sz val="11"/>
        <color rgb="FFC00000"/>
        <rFont val="DejaVu Sans"/>
        <family val="2"/>
      </rPr>
      <t>매출액</t>
    </r>
    <r>
      <rPr>
        <sz val="11"/>
        <color rgb="FFC00000"/>
        <rFont val="맑은 고딕"/>
        <family val="3"/>
        <charset val="129"/>
      </rPr>
      <t>(%)</t>
    </r>
  </si>
  <si>
    <t>EV / EBITDA</t>
  </si>
  <si>
    <t>EBITDA Margin(%)</t>
  </si>
  <si>
    <r>
      <rPr>
        <sz val="11"/>
        <color rgb="FFC00000"/>
        <rFont val="DejaVu Sans"/>
        <family val="2"/>
      </rPr>
      <t>당기순이익</t>
    </r>
    <r>
      <rPr>
        <sz val="11"/>
        <color rgb="FFC00000"/>
        <rFont val="DejaVu Sans"/>
        <family val="2"/>
        <charset val="1"/>
      </rPr>
      <t>(%)</t>
    </r>
  </si>
  <si>
    <t>EV/EBITDA</t>
  </si>
  <si>
    <t>자산</t>
  </si>
  <si>
    <t>부채</t>
  </si>
  <si>
    <t>자본</t>
  </si>
  <si>
    <t>총차입금</t>
  </si>
  <si>
    <t>현금성자산</t>
  </si>
  <si>
    <r>
      <rPr>
        <sz val="11"/>
        <rFont val="DejaVu Sans"/>
        <family val="2"/>
      </rPr>
      <t>순차입금</t>
    </r>
    <r>
      <rPr>
        <sz val="11"/>
        <rFont val="DejaVu Sans"/>
        <family val="2"/>
        <charset val="1"/>
      </rPr>
      <t>(Net Debt)</t>
    </r>
  </si>
  <si>
    <r>
      <rPr>
        <sz val="11"/>
        <rFont val="DejaVu Sans"/>
        <family val="2"/>
      </rPr>
      <t>부채비율</t>
    </r>
    <r>
      <rPr>
        <sz val="11"/>
        <rFont val="DejaVu Sans"/>
        <family val="2"/>
        <charset val="1"/>
      </rPr>
      <t>(%)</t>
    </r>
  </si>
  <si>
    <t>영업활동현금흐름</t>
  </si>
  <si>
    <t>투자활동현금흐름</t>
  </si>
  <si>
    <t>재무활동현금흐름</t>
  </si>
  <si>
    <r>
      <rPr>
        <sz val="11"/>
        <color rgb="FFC00000"/>
        <rFont val="DejaVu Sans"/>
        <family val="2"/>
      </rPr>
      <t>부채비율</t>
    </r>
    <r>
      <rPr>
        <sz val="11"/>
        <color rgb="FFC00000"/>
        <rFont val="DejaVu Sans"/>
        <family val="2"/>
        <charset val="1"/>
      </rPr>
      <t>(%)</t>
    </r>
  </si>
  <si>
    <r>
      <rPr>
        <sz val="10"/>
        <color theme="1"/>
        <rFont val="DejaVu Sans"/>
        <family val="2"/>
      </rPr>
      <t>코스피</t>
    </r>
    <r>
      <rPr>
        <sz val="10"/>
        <color theme="1"/>
        <rFont val="DejaVu Sans"/>
        <family val="2"/>
        <charset val="1"/>
      </rPr>
      <t xml:space="preserve">, </t>
    </r>
    <r>
      <rPr>
        <sz val="10"/>
        <color theme="1"/>
        <rFont val="DejaVu Sans"/>
        <family val="2"/>
      </rPr>
      <t>코스닥</t>
    </r>
    <r>
      <rPr>
        <sz val="10"/>
        <color theme="1"/>
        <rFont val="DejaVu Sans"/>
        <family val="2"/>
        <charset val="1"/>
      </rPr>
      <t xml:space="preserve">, </t>
    </r>
    <r>
      <rPr>
        <sz val="10"/>
        <color theme="1"/>
        <rFont val="DejaVu Sans"/>
        <family val="2"/>
      </rPr>
      <t>코넥스</t>
    </r>
    <r>
      <rPr>
        <sz val="10"/>
        <color theme="1"/>
        <rFont val="DejaVu Sans"/>
        <family val="2"/>
        <charset val="1"/>
      </rPr>
      <t xml:space="preserve">, </t>
    </r>
    <r>
      <rPr>
        <sz val="10"/>
        <color theme="1"/>
        <rFont val="DejaVu Sans"/>
        <family val="2"/>
      </rPr>
      <t>비상장</t>
    </r>
  </si>
  <si>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DejaVu Sans"/>
        <family val="2"/>
      </rPr>
      <t>단위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DejaVu Sans"/>
        <family val="2"/>
      </rPr>
      <t>백만</t>
    </r>
    <r>
      <rPr>
        <sz val="10"/>
        <color theme="1"/>
        <rFont val="맑은 고딕"/>
        <family val="3"/>
        <charset val="129"/>
      </rPr>
      <t>)</t>
    </r>
  </si>
  <si>
    <t>data</t>
  </si>
  <si>
    <r>
      <rPr>
        <b/>
        <sz val="10"/>
        <color theme="0"/>
        <rFont val="DejaVu Sans"/>
        <family val="2"/>
      </rPr>
      <t>매출액</t>
    </r>
    <r>
      <rPr>
        <b/>
        <sz val="10"/>
        <color theme="0"/>
        <rFont val="DejaVu Sans"/>
        <family val="2"/>
        <charset val="1"/>
      </rPr>
      <t>(</t>
    </r>
    <r>
      <rPr>
        <b/>
        <sz val="10"/>
        <color theme="0"/>
        <rFont val="DejaVu Sans"/>
        <family val="2"/>
      </rPr>
      <t>수익</t>
    </r>
    <r>
      <rPr>
        <b/>
        <sz val="10"/>
        <color theme="0"/>
        <rFont val="DejaVu Sans"/>
        <family val="2"/>
        <charset val="1"/>
      </rPr>
      <t>)</t>
    </r>
  </si>
  <si>
    <t>손익계산서</t>
  </si>
  <si>
    <t>재무상태표</t>
  </si>
  <si>
    <t>현금흐름표</t>
  </si>
  <si>
    <r>
      <rPr>
        <b/>
        <sz val="10"/>
        <color theme="0"/>
        <rFont val="DejaVu Sans"/>
        <family val="2"/>
      </rPr>
      <t>영업이익</t>
    </r>
    <r>
      <rPr>
        <b/>
        <sz val="10"/>
        <color theme="0"/>
        <rFont val="DejaVu Sans"/>
        <family val="2"/>
        <charset val="1"/>
      </rPr>
      <t>(EBIT)</t>
    </r>
  </si>
  <si>
    <t>참조</t>
  </si>
  <si>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DejaVu Sans"/>
        <family val="2"/>
      </rPr>
      <t>주석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DejaVu Sans"/>
        <family val="2"/>
      </rPr>
      <t>참조</t>
    </r>
  </si>
  <si>
    <t>감가상각비</t>
  </si>
  <si>
    <r>
      <rPr>
        <sz val="10"/>
        <color theme="1"/>
        <rFont val="DejaVu Sans"/>
        <family val="2"/>
      </rPr>
      <t xml:space="preserve">현금흐름표 </t>
    </r>
    <r>
      <rPr>
        <sz val="10"/>
        <color theme="1"/>
        <rFont val="DejaVu Sans"/>
        <family val="2"/>
        <charset val="1"/>
      </rPr>
      <t xml:space="preserve">or
</t>
    </r>
    <r>
      <rPr>
        <sz val="10"/>
        <color theme="1"/>
        <rFont val="DejaVu Sans"/>
        <family val="2"/>
      </rPr>
      <t>현금흐름표</t>
    </r>
    <r>
      <rPr>
        <sz val="10"/>
        <color theme="1"/>
        <rFont val="DejaVu Sans"/>
        <family val="2"/>
        <charset val="1"/>
      </rPr>
      <t>(</t>
    </r>
    <r>
      <rPr>
        <sz val="10"/>
        <color theme="1"/>
        <rFont val="DejaVu Sans"/>
        <family val="2"/>
      </rPr>
      <t>주석</t>
    </r>
    <r>
      <rPr>
        <sz val="10"/>
        <color theme="1"/>
        <rFont val="DejaVu Sans"/>
        <family val="2"/>
        <charset val="1"/>
      </rPr>
      <t>)</t>
    </r>
  </si>
  <si>
    <t>무형자산상각비</t>
  </si>
  <si>
    <t>자동계산</t>
  </si>
  <si>
    <r>
      <rPr>
        <sz val="10"/>
        <color theme="1"/>
        <rFont val="맑은 고딕"/>
        <family val="3"/>
        <charset val="129"/>
      </rPr>
      <t xml:space="preserve">EBITDA = </t>
    </r>
    <r>
      <rPr>
        <sz val="10"/>
        <color theme="1"/>
        <rFont val="DejaVu Sans"/>
        <family val="2"/>
      </rPr>
      <t xml:space="preserve">영업이익 </t>
    </r>
    <r>
      <rPr>
        <sz val="10"/>
        <color theme="1"/>
        <rFont val="맑은 고딕"/>
        <family val="3"/>
        <charset val="129"/>
      </rPr>
      <t xml:space="preserve">+ </t>
    </r>
    <r>
      <rPr>
        <sz val="10"/>
        <color theme="1"/>
        <rFont val="DejaVu Sans"/>
        <family val="2"/>
      </rPr>
      <t xml:space="preserve">감가상각비 </t>
    </r>
    <r>
      <rPr>
        <sz val="10"/>
        <color theme="1"/>
        <rFont val="맑은 고딕"/>
        <family val="3"/>
        <charset val="129"/>
      </rPr>
      <t xml:space="preserve">(Depreciation) + </t>
    </r>
    <r>
      <rPr>
        <sz val="10"/>
        <color theme="1"/>
        <rFont val="DejaVu Sans"/>
        <family val="2"/>
      </rPr>
      <t xml:space="preserve">무형자산상각비 </t>
    </r>
    <r>
      <rPr>
        <sz val="10"/>
        <color theme="1"/>
        <rFont val="맑은 고딕"/>
        <family val="3"/>
        <charset val="129"/>
      </rPr>
      <t>(Amortization)</t>
    </r>
  </si>
  <si>
    <t>당기순이익</t>
  </si>
  <si>
    <t>자산총계</t>
  </si>
  <si>
    <t>부채총계</t>
  </si>
  <si>
    <t>자본총계</t>
  </si>
  <si>
    <t>단기차입금</t>
  </si>
  <si>
    <t>장기차입금</t>
  </si>
  <si>
    <r>
      <rPr>
        <sz val="10"/>
        <color theme="1"/>
        <rFont val="DejaVu Sans"/>
        <family val="2"/>
      </rPr>
      <t xml:space="preserve">총차입금 </t>
    </r>
    <r>
      <rPr>
        <sz val="10"/>
        <color theme="1"/>
        <rFont val="DejaVu Sans"/>
        <family val="2"/>
        <charset val="1"/>
      </rPr>
      <t xml:space="preserve">= </t>
    </r>
    <r>
      <rPr>
        <sz val="10"/>
        <color theme="1"/>
        <rFont val="DejaVu Sans"/>
        <family val="2"/>
      </rPr>
      <t xml:space="preserve">단기차입금 </t>
    </r>
    <r>
      <rPr>
        <sz val="10"/>
        <color theme="1"/>
        <rFont val="DejaVu Sans"/>
        <family val="2"/>
        <charset val="1"/>
      </rPr>
      <t xml:space="preserve">+ </t>
    </r>
    <r>
      <rPr>
        <sz val="10"/>
        <color theme="1"/>
        <rFont val="DejaVu Sans"/>
        <family val="2"/>
      </rPr>
      <t>장기차입금</t>
    </r>
  </si>
  <si>
    <r>
      <rPr>
        <sz val="10"/>
        <color theme="0"/>
        <rFont val="DejaVu Sans"/>
        <family val="2"/>
      </rPr>
      <t>순차입금</t>
    </r>
    <r>
      <rPr>
        <sz val="10"/>
        <color theme="0"/>
        <rFont val="DejaVu Sans"/>
        <family val="2"/>
        <charset val="1"/>
      </rPr>
      <t>(net debt)</t>
    </r>
  </si>
  <si>
    <r>
      <rPr>
        <sz val="10"/>
        <color theme="1"/>
        <rFont val="DejaVu Sans"/>
        <family val="2"/>
      </rPr>
      <t>순차입금</t>
    </r>
    <r>
      <rPr>
        <sz val="10"/>
        <color theme="1"/>
        <rFont val="DejaVu Sans"/>
        <family val="2"/>
        <charset val="1"/>
      </rPr>
      <t xml:space="preserve">(net debt) = </t>
    </r>
    <r>
      <rPr>
        <sz val="10"/>
        <color theme="1"/>
        <rFont val="DejaVu Sans"/>
        <family val="2"/>
      </rPr>
      <t xml:space="preserve">총차입금 </t>
    </r>
    <r>
      <rPr>
        <sz val="10"/>
        <color theme="1"/>
        <rFont val="DejaVu Sans"/>
        <family val="2"/>
        <charset val="1"/>
      </rPr>
      <t xml:space="preserve">- </t>
    </r>
    <r>
      <rPr>
        <sz val="10"/>
        <color theme="1"/>
        <rFont val="DejaVu Sans"/>
        <family val="2"/>
      </rPr>
      <t>현금성자산</t>
    </r>
  </si>
  <si>
    <r>
      <rPr>
        <b/>
        <sz val="10"/>
        <color theme="0"/>
        <rFont val="DejaVu Sans"/>
        <family val="2"/>
      </rPr>
      <t xml:space="preserve">영업활동현금흐름
</t>
    </r>
    <r>
      <rPr>
        <b/>
        <sz val="10"/>
        <color theme="0"/>
        <rFont val="DejaVu Sans"/>
        <family val="2"/>
        <charset val="1"/>
      </rPr>
      <t>(cash flows from operations)</t>
    </r>
  </si>
  <si>
    <r>
      <rPr>
        <b/>
        <sz val="10"/>
        <color theme="0"/>
        <rFont val="DejaVu Sans"/>
        <family val="2"/>
      </rPr>
      <t xml:space="preserve">투자활동현금흐름
</t>
    </r>
    <r>
      <rPr>
        <b/>
        <sz val="10"/>
        <color theme="0"/>
        <rFont val="DejaVu Sans"/>
        <family val="2"/>
        <charset val="1"/>
      </rPr>
      <t>(cash flows from investing)</t>
    </r>
  </si>
  <si>
    <r>
      <rPr>
        <b/>
        <sz val="10"/>
        <color theme="0"/>
        <rFont val="DejaVu Sans"/>
        <family val="2"/>
      </rPr>
      <t xml:space="preserve">재무활동현금흐름
</t>
    </r>
    <r>
      <rPr>
        <b/>
        <sz val="10"/>
        <color theme="0"/>
        <rFont val="DejaVu Sans"/>
        <family val="2"/>
        <charset val="1"/>
      </rPr>
      <t>(cash flows from financing)</t>
    </r>
  </si>
  <si>
    <r>
      <rPr>
        <sz val="10"/>
        <color theme="1"/>
        <rFont val="맑은 고딕"/>
        <family val="3"/>
        <charset val="129"/>
      </rPr>
      <t>* 'Summary' sheet</t>
    </r>
    <r>
      <rPr>
        <sz val="10"/>
        <color theme="1"/>
        <rFont val="DejaVu Sans"/>
        <family val="2"/>
      </rPr>
      <t xml:space="preserve">의 </t>
    </r>
    <r>
      <rPr>
        <sz val="10"/>
        <color theme="1"/>
        <rFont val="맑은 고딕"/>
        <family val="3"/>
        <charset val="129"/>
      </rPr>
      <t>No. of shares(</t>
    </r>
    <r>
      <rPr>
        <sz val="10"/>
        <color theme="1"/>
        <rFont val="DejaVu Sans"/>
        <family val="2"/>
      </rPr>
      <t>발행주식의 총수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DejaVu Sans"/>
        <family val="2"/>
      </rPr>
      <t xml:space="preserve">및 </t>
    </r>
    <r>
      <rPr>
        <sz val="10"/>
        <color theme="1"/>
        <rFont val="맑은 고딕"/>
        <family val="3"/>
        <charset val="129"/>
      </rPr>
      <t>Stock price</t>
    </r>
    <r>
      <rPr>
        <sz val="10"/>
        <color theme="1"/>
        <rFont val="DejaVu Sans"/>
        <family val="2"/>
      </rPr>
      <t xml:space="preserve">는 </t>
    </r>
    <r>
      <rPr>
        <sz val="10"/>
        <color theme="1"/>
        <rFont val="맑은 고딕"/>
        <family val="3"/>
        <charset val="129"/>
      </rPr>
      <t>Finance.naver.com</t>
    </r>
    <r>
      <rPr>
        <sz val="10"/>
        <color theme="1"/>
        <rFont val="DejaVu Sans"/>
        <family val="2"/>
      </rPr>
      <t>에서 검색</t>
    </r>
  </si>
  <si>
    <r>
      <rPr>
        <sz val="10"/>
        <color theme="1"/>
        <rFont val="맑은 고딕"/>
        <family val="3"/>
        <charset val="129"/>
      </rPr>
      <t>** template</t>
    </r>
    <r>
      <rPr>
        <sz val="10"/>
        <color theme="1"/>
        <rFont val="DejaVu Sans"/>
        <family val="2"/>
      </rPr>
      <t xml:space="preserve">의 </t>
    </r>
    <r>
      <rPr>
        <sz val="10"/>
        <color theme="1"/>
        <rFont val="맑은 고딕"/>
        <family val="3"/>
        <charset val="129"/>
      </rPr>
      <t>'</t>
    </r>
    <r>
      <rPr>
        <sz val="10"/>
        <color theme="1"/>
        <rFont val="DejaVu Sans"/>
        <family val="2"/>
      </rPr>
      <t>단위는 백만</t>
    </r>
    <r>
      <rPr>
        <sz val="10"/>
        <color theme="1"/>
        <rFont val="맑은 고딕"/>
        <family val="3"/>
        <charset val="129"/>
      </rPr>
      <t xml:space="preserve">'. </t>
    </r>
    <r>
      <rPr>
        <sz val="10"/>
        <color theme="1"/>
        <rFont val="DejaVu Sans"/>
        <family val="2"/>
      </rPr>
      <t xml:space="preserve">따라서 </t>
    </r>
    <r>
      <rPr>
        <sz val="10"/>
        <color theme="1"/>
        <rFont val="맑은 고딕"/>
        <family val="3"/>
        <charset val="129"/>
      </rPr>
      <t>dart</t>
    </r>
    <r>
      <rPr>
        <sz val="10"/>
        <color theme="1"/>
        <rFont val="DejaVu Sans"/>
        <family val="2"/>
      </rPr>
      <t xml:space="preserve">에서 </t>
    </r>
    <r>
      <rPr>
        <sz val="10"/>
        <color theme="1"/>
        <rFont val="맑은 고딕"/>
        <family val="3"/>
        <charset val="129"/>
      </rPr>
      <t>'</t>
    </r>
    <r>
      <rPr>
        <sz val="10"/>
        <color theme="1"/>
        <rFont val="DejaVu Sans"/>
        <family val="2"/>
      </rPr>
      <t>단위가 원</t>
    </r>
    <r>
      <rPr>
        <sz val="10"/>
        <color theme="1"/>
        <rFont val="맑은 고딕"/>
        <family val="3"/>
        <charset val="129"/>
      </rPr>
      <t>'</t>
    </r>
    <r>
      <rPr>
        <sz val="10"/>
        <color theme="1"/>
        <rFont val="DejaVu Sans"/>
        <family val="2"/>
      </rPr>
      <t xml:space="preserve">인 숫자 그대로 입력하면 </t>
    </r>
    <r>
      <rPr>
        <sz val="10"/>
        <color theme="1"/>
        <rFont val="맑은 고딕"/>
        <family val="3"/>
        <charset val="129"/>
      </rPr>
      <t>summary</t>
    </r>
    <r>
      <rPr>
        <sz val="10"/>
        <color theme="1"/>
        <rFont val="DejaVu Sans"/>
        <family val="2"/>
      </rPr>
      <t xml:space="preserve">로 가져올 때 </t>
    </r>
    <r>
      <rPr>
        <sz val="10"/>
        <color theme="1"/>
        <rFont val="맑은 고딕"/>
        <family val="3"/>
        <charset val="129"/>
      </rPr>
      <t xml:space="preserve">'/10^6' </t>
    </r>
    <r>
      <rPr>
        <sz val="10"/>
        <color theme="1"/>
        <rFont val="DejaVu Sans"/>
        <family val="2"/>
      </rPr>
      <t>수식이 들어가있어 백만단위로 표시됨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DejaVu Sans"/>
        <family val="2"/>
      </rPr>
      <t>단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DejaVu Sans"/>
        <family val="2"/>
      </rPr>
      <t xml:space="preserve">삼성전자처럼 </t>
    </r>
    <r>
      <rPr>
        <sz val="10"/>
        <color theme="1"/>
        <rFont val="맑은 고딕"/>
        <family val="3"/>
        <charset val="129"/>
      </rPr>
      <t>dart</t>
    </r>
    <r>
      <rPr>
        <sz val="10"/>
        <color theme="1"/>
        <rFont val="DejaVu Sans"/>
        <family val="2"/>
      </rPr>
      <t xml:space="preserve">에 백만단위로 들어가 있는 회사는 수식에서 </t>
    </r>
    <r>
      <rPr>
        <sz val="10"/>
        <color theme="1"/>
        <rFont val="맑은 고딕"/>
        <family val="3"/>
        <charset val="129"/>
      </rPr>
      <t xml:space="preserve">'/10^6' </t>
    </r>
    <r>
      <rPr>
        <sz val="10"/>
        <color theme="1"/>
        <rFont val="DejaVu Sans"/>
        <family val="2"/>
      </rPr>
      <t>삭제</t>
    </r>
  </si>
  <si>
    <r>
      <rPr>
        <sz val="10"/>
        <color theme="1"/>
        <rFont val="맑은 고딕"/>
        <family val="3"/>
        <charset val="129"/>
      </rPr>
      <t xml:space="preserve">*** </t>
    </r>
    <r>
      <rPr>
        <sz val="10"/>
        <color theme="1"/>
        <rFont val="DejaVu Sans"/>
        <family val="2"/>
      </rPr>
      <t>감가상각비는 사업보고서 상</t>
    </r>
    <r>
      <rPr>
        <sz val="10"/>
        <color theme="1"/>
        <rFont val="맑은 고딕"/>
        <family val="3"/>
        <charset val="129"/>
      </rPr>
      <t>, 2</t>
    </r>
    <r>
      <rPr>
        <sz val="10"/>
        <color theme="1"/>
        <rFont val="DejaVu Sans"/>
        <family val="2"/>
      </rPr>
      <t>년치만 있는 경우가 많아</t>
    </r>
    <r>
      <rPr>
        <sz val="10"/>
        <color theme="1"/>
        <rFont val="맑은 고딕"/>
        <family val="3"/>
        <charset val="129"/>
      </rPr>
      <t>, 5</t>
    </r>
    <r>
      <rPr>
        <sz val="10"/>
        <color theme="1"/>
        <rFont val="DejaVu Sans"/>
        <family val="2"/>
      </rPr>
      <t xml:space="preserve">개년 숫자를 넣으려면 사업보고서를 세 개 참고하셔야 할 수도 </t>
    </r>
    <r>
      <rPr>
        <sz val="10"/>
        <color theme="1"/>
        <rFont val="맑은 고딕"/>
        <family val="3"/>
        <charset val="129"/>
      </rPr>
      <t>(ex, 2024</t>
    </r>
    <r>
      <rPr>
        <sz val="10"/>
        <color theme="1"/>
        <rFont val="DejaVu Sans"/>
        <family val="2"/>
      </rPr>
      <t xml:space="preserve">년 </t>
    </r>
    <r>
      <rPr>
        <sz val="10"/>
        <color theme="1"/>
        <rFont val="맑은 고딕"/>
        <family val="3"/>
        <charset val="129"/>
      </rPr>
      <t>/ 2022</t>
    </r>
    <r>
      <rPr>
        <sz val="10"/>
        <color theme="1"/>
        <rFont val="DejaVu Sans"/>
        <family val="2"/>
      </rPr>
      <t xml:space="preserve">년 </t>
    </r>
    <r>
      <rPr>
        <sz val="10"/>
        <color theme="1"/>
        <rFont val="맑은 고딕"/>
        <family val="3"/>
        <charset val="129"/>
      </rPr>
      <t>/ 2020</t>
    </r>
    <r>
      <rPr>
        <sz val="10"/>
        <color theme="1"/>
        <rFont val="DejaVu Sans"/>
        <family val="2"/>
      </rPr>
      <t>년 사업보고서</t>
    </r>
    <r>
      <rPr>
        <sz val="10"/>
        <color theme="1"/>
        <rFont val="맑은 고딕"/>
        <family val="3"/>
        <charset val="129"/>
      </rPr>
      <t>)</t>
    </r>
  </si>
  <si>
    <r>
      <rPr>
        <sz val="10"/>
        <color theme="1"/>
        <rFont val="맑은 고딕"/>
        <family val="3"/>
        <charset val="129"/>
      </rPr>
      <t xml:space="preserve">**** </t>
    </r>
    <r>
      <rPr>
        <sz val="10"/>
        <color theme="1"/>
        <rFont val="DejaVu Sans"/>
        <family val="2"/>
      </rPr>
      <t>제일 위 회사명과 상장여부 파란색 셀은 직접 입력</t>
    </r>
    <r>
      <rPr>
        <sz val="10"/>
        <color theme="1"/>
        <rFont val="맑은 고딕"/>
        <family val="3"/>
        <charset val="129"/>
      </rPr>
      <t>. (</t>
    </r>
    <r>
      <rPr>
        <sz val="10"/>
        <color theme="1"/>
        <rFont val="DejaVu Sans"/>
        <family val="2"/>
      </rPr>
      <t xml:space="preserve">상장여부는 </t>
    </r>
    <r>
      <rPr>
        <sz val="10"/>
        <color theme="1"/>
        <rFont val="맑은 고딕"/>
        <family val="3"/>
        <charset val="129"/>
      </rPr>
      <t>3</t>
    </r>
    <r>
      <rPr>
        <sz val="10"/>
        <color theme="1"/>
        <rFont val="DejaVu Sans"/>
        <family val="2"/>
      </rPr>
      <t xml:space="preserve">가지 옵션 </t>
    </r>
    <r>
      <rPr>
        <sz val="10"/>
        <color theme="1"/>
        <rFont val="맑은 고딕"/>
        <family val="3"/>
        <charset val="129"/>
      </rPr>
      <t>'</t>
    </r>
    <r>
      <rPr>
        <sz val="10"/>
        <color theme="1"/>
        <rFont val="DejaVu Sans"/>
        <family val="2"/>
      </rPr>
      <t>코스피</t>
    </r>
    <r>
      <rPr>
        <sz val="10"/>
        <color theme="1"/>
        <rFont val="맑은 고딕"/>
        <family val="3"/>
        <charset val="129"/>
      </rPr>
      <t>/</t>
    </r>
    <r>
      <rPr>
        <sz val="10"/>
        <color theme="1"/>
        <rFont val="DejaVu Sans"/>
        <family val="2"/>
      </rPr>
      <t>코스닥</t>
    </r>
    <r>
      <rPr>
        <sz val="10"/>
        <color theme="1"/>
        <rFont val="맑은 고딕"/>
        <family val="3"/>
        <charset val="129"/>
      </rPr>
      <t>/</t>
    </r>
    <r>
      <rPr>
        <sz val="10"/>
        <color theme="1"/>
        <rFont val="DejaVu Sans"/>
        <family val="2"/>
      </rPr>
      <t>코넥스</t>
    </r>
    <r>
      <rPr>
        <sz val="10"/>
        <color theme="1"/>
        <rFont val="맑은 고딕"/>
        <family val="3"/>
        <charset val="129"/>
      </rPr>
      <t>/</t>
    </r>
    <r>
      <rPr>
        <sz val="10"/>
        <color theme="1"/>
        <rFont val="DejaVu Sans"/>
        <family val="2"/>
      </rPr>
      <t>비상장</t>
    </r>
    <r>
      <rPr>
        <sz val="10"/>
        <color theme="1"/>
        <rFont val="맑은 고딕"/>
        <family val="3"/>
        <charset val="129"/>
      </rPr>
      <t xml:space="preserve">' </t>
    </r>
    <r>
      <rPr>
        <sz val="10"/>
        <color theme="1"/>
        <rFont val="DejaVu Sans"/>
        <family val="2"/>
      </rPr>
      <t>중 하나 선택</t>
    </r>
    <r>
      <rPr>
        <sz val="10"/>
        <color theme="1"/>
        <rFont val="맑은 고딕"/>
        <family val="3"/>
        <charset val="129"/>
      </rPr>
      <t>)</t>
    </r>
  </si>
  <si>
    <r>
      <t>(</t>
    </r>
    <r>
      <rPr>
        <sz val="10"/>
        <color theme="0"/>
        <rFont val="DejaVu Sans"/>
        <family val="2"/>
      </rPr>
      <t>단위</t>
    </r>
    <r>
      <rPr>
        <sz val="10"/>
        <color theme="0"/>
        <rFont val="맑은 고딕"/>
        <family val="3"/>
        <charset val="129"/>
      </rPr>
      <t>:</t>
    </r>
    <r>
      <rPr>
        <sz val="10"/>
        <color theme="0"/>
        <rFont val="DejaVu Sans"/>
        <family val="2"/>
      </rPr>
      <t>백만원</t>
    </r>
    <r>
      <rPr>
        <sz val="10"/>
        <color theme="0"/>
        <rFont val="맑은 고딕"/>
        <family val="3"/>
        <charset val="129"/>
      </rPr>
      <t>)</t>
    </r>
  </si>
  <si>
    <t xml:space="preserve"> 2026.04.01</t>
    <phoneticPr fontId="42" type="noConversion"/>
  </si>
  <si>
    <t>LG에너지솔루션</t>
    <phoneticPr fontId="42" type="noConversion"/>
  </si>
  <si>
    <t>코스피</t>
    <phoneticPr fontId="42" type="noConversion"/>
  </si>
  <si>
    <t>CAPEX 집중 투자 사이클(투자현금흐름 -6.3조 -&gt; -12.1조 -&gt; -10.9조)</t>
    <phoneticPr fontId="42" type="noConversion"/>
  </si>
  <si>
    <t>ㄴ 북미 JV, 애리조나 공장 등 연간 10-12조 투자로부터 기인</t>
    <phoneticPr fontId="42" type="noConversion"/>
  </si>
  <si>
    <t>영업현금흐름 개선 기반 수익구조 전환(EBITDA 기반 현금창출력 회복)</t>
    <phoneticPr fontId="42" type="noConversion"/>
  </si>
  <si>
    <t>투자 &gt; 영업 구조에 따른 FCF 적자 지속</t>
    <phoneticPr fontId="42" type="noConversion"/>
  </si>
  <si>
    <t>재무현금흐름 기반 구조 확립: 대규모 증설 자금 외부 조달 의존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</si>
</sst>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\-_-;_-@_-"/>
    <numFmt numFmtId="177" formatCode="_-* #,##0.00_-;\-* #,##0.00_-;_-* \-_-;_-@_-"/>
    <numFmt numFmtId="178" formatCode="#,##0.0_);\(#,##0.0\)"/>
    <numFmt numFmtId="179" formatCode="0.0%"/>
    <numFmt numFmtId="180" formatCode="_-* #,##0.0_-;\-* #,##0.0_-;_-* \-_-;_-@_-"/>
  </numFmts>
  <fonts count="47">
    <font>
      <sz val="11"/>
      <color theme="1"/>
      <name val="맑은 고딕"/>
      <family val="2"/>
      <charset val="129"/>
    </font>
    <font>
      <sz val="10"/>
      <name val="Arial"/>
      <family val="2"/>
    </font>
    <font>
      <sz val="11"/>
      <color rgb="FF9C5700"/>
      <name val="맑은 고딕"/>
      <family val="2"/>
      <charset val="129"/>
    </font>
    <font>
      <sz val="11"/>
      <color rgb="FF000000"/>
      <name val="맑은 고딕"/>
      <family val="2"/>
      <charset val="1"/>
    </font>
    <font>
      <sz val="11"/>
      <name val="맑은 고딕"/>
      <family val="3"/>
      <charset val="129"/>
    </font>
    <font>
      <b/>
      <sz val="22"/>
      <color theme="3"/>
      <name val="맑은 고딕"/>
      <family val="3"/>
      <charset val="129"/>
    </font>
    <font>
      <b/>
      <sz val="16"/>
      <color theme="3"/>
      <name val="맑은 고딕"/>
      <family val="3"/>
      <charset val="129"/>
    </font>
    <font>
      <sz val="11"/>
      <color theme="3"/>
      <name val="맑은 고딕"/>
      <family val="3"/>
      <charset val="129"/>
    </font>
    <font>
      <sz val="14"/>
      <color theme="1"/>
      <name val="맑은 고딕"/>
      <family val="3"/>
      <charset val="129"/>
    </font>
    <font>
      <sz val="10"/>
      <name val="DejaVu Sans"/>
      <family val="2"/>
    </font>
    <font>
      <b/>
      <sz val="9"/>
      <color rgb="FFFFFFFF"/>
      <name val="Arial"/>
      <family val="2"/>
      <charset val="1"/>
    </font>
    <font>
      <sz val="11"/>
      <name val="DejaVu Sans"/>
      <family val="2"/>
    </font>
    <font>
      <b/>
      <sz val="8"/>
      <name val="DejaVu Sans"/>
      <family val="2"/>
    </font>
    <font>
      <b/>
      <sz val="11"/>
      <name val="DejaVu Sans"/>
      <family val="2"/>
    </font>
    <font>
      <b/>
      <sz val="11"/>
      <name val="DejaVu Sans"/>
      <family val="2"/>
      <charset val="1"/>
    </font>
    <font>
      <b/>
      <sz val="8"/>
      <name val="DejaVu Sans"/>
      <family val="2"/>
      <charset val="1"/>
    </font>
    <font>
      <b/>
      <sz val="8"/>
      <name val="맑은 고딕"/>
      <family val="3"/>
      <charset val="129"/>
    </font>
    <font>
      <sz val="8"/>
      <name val="DejaVu Sans"/>
      <family val="2"/>
    </font>
    <font>
      <sz val="8"/>
      <name val="DejaVu Sans"/>
      <family val="2"/>
      <charset val="1"/>
    </font>
    <font>
      <sz val="8"/>
      <name val="맑은 고딕"/>
      <family val="3"/>
      <charset val="129"/>
    </font>
    <font>
      <sz val="11"/>
      <color theme="1"/>
      <name val="DejaVu Sans"/>
      <family val="2"/>
    </font>
    <font>
      <b/>
      <sz val="11"/>
      <name val="맑은 고딕"/>
      <family val="3"/>
      <charset val="129"/>
    </font>
    <font>
      <sz val="11"/>
      <name val="DejaVu Sans"/>
      <family val="2"/>
      <charset val="1"/>
    </font>
    <font>
      <sz val="11"/>
      <color rgb="FFC00000"/>
      <name val="맑은 고딕"/>
      <family val="3"/>
      <charset val="129"/>
    </font>
    <font>
      <sz val="11"/>
      <color rgb="FFC00000"/>
      <name val="DejaVu Sans"/>
      <family val="2"/>
    </font>
    <font>
      <sz val="11"/>
      <color rgb="FFC00000"/>
      <name val="DejaVu Sans"/>
      <family val="2"/>
      <charset val="1"/>
    </font>
    <font>
      <sz val="11"/>
      <color theme="1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11"/>
      <name val="Cambria"/>
      <family val="1"/>
      <charset val="1"/>
    </font>
    <font>
      <sz val="10"/>
      <color theme="1"/>
      <name val="맑은 고딕"/>
      <family val="3"/>
      <charset val="129"/>
    </font>
    <font>
      <sz val="10"/>
      <color theme="1"/>
      <name val="DejaVu Sans"/>
      <family val="2"/>
    </font>
    <font>
      <sz val="10"/>
      <color theme="1"/>
      <name val="DejaVu Sans"/>
      <family val="2"/>
      <charset val="1"/>
    </font>
    <font>
      <sz val="11"/>
      <color rgb="FFFFFFFF"/>
      <name val="DejaVu Sans"/>
      <family val="2"/>
    </font>
    <font>
      <sz val="11"/>
      <color rgb="FF000000"/>
      <name val="DejaVu Sans"/>
      <family val="2"/>
    </font>
    <font>
      <b/>
      <sz val="10"/>
      <color theme="0"/>
      <name val="맑은 고딕"/>
      <family val="3"/>
      <charset val="129"/>
    </font>
    <font>
      <b/>
      <sz val="10"/>
      <color theme="0"/>
      <name val="DejaVu Sans"/>
      <family val="2"/>
    </font>
    <font>
      <b/>
      <sz val="10"/>
      <color theme="0"/>
      <name val="DejaVu Sans"/>
      <family val="2"/>
      <charset val="1"/>
    </font>
    <font>
      <sz val="10"/>
      <color theme="0"/>
      <name val="맑은 고딕"/>
      <family val="3"/>
      <charset val="129"/>
    </font>
    <font>
      <sz val="10"/>
      <color theme="0"/>
      <name val="DejaVu Sans"/>
      <family val="2"/>
    </font>
    <font>
      <b/>
      <sz val="11"/>
      <color theme="1"/>
      <name val="맑은 고딕"/>
      <family val="3"/>
      <charset val="129"/>
    </font>
    <font>
      <sz val="10"/>
      <color theme="0"/>
      <name val="DejaVu Sans"/>
      <family val="2"/>
      <charset val="1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2"/>
      <charset val="129"/>
    </font>
    <font>
      <sz val="10"/>
      <color rgb="FF000000"/>
      <name val="DejaVu Sans"/>
    </font>
  </fonts>
  <fills count="18">
    <fill>
      <patternFill patternType="none"/>
    </fill>
    <fill>
      <patternFill patternType="gray125"/>
    </fill>
    <fill>
      <patternFill patternType="solid">
        <fgColor theme="4" tint="0.39939573351237523"/>
        <bgColor rgb="FF8FAADC"/>
      </patternFill>
    </fill>
    <fill>
      <patternFill patternType="solid">
        <fgColor theme="5" tint="0.39939573351237523"/>
        <bgColor rgb="FFFFD966"/>
      </patternFill>
    </fill>
    <fill>
      <patternFill patternType="solid">
        <fgColor theme="6" tint="0.39939573351237523"/>
        <bgColor rgb="FFD9D9D9"/>
      </patternFill>
    </fill>
    <fill>
      <patternFill patternType="solid">
        <fgColor theme="7" tint="0.39939573351237523"/>
        <bgColor rgb="FFFFEB9C"/>
      </patternFill>
    </fill>
    <fill>
      <patternFill patternType="solid">
        <fgColor theme="8" tint="0.39939573351237523"/>
        <bgColor rgb="FF9CC3E6"/>
      </patternFill>
    </fill>
    <fill>
      <patternFill patternType="solid">
        <fgColor theme="9" tint="0.39939573351237523"/>
        <bgColor rgb="FFB3B3B3"/>
      </patternFill>
    </fill>
    <fill>
      <patternFill patternType="solid">
        <fgColor rgb="FFFFEB9C"/>
        <bgColor rgb="FFFBE5D6"/>
      </patternFill>
    </fill>
    <fill>
      <patternFill patternType="solid">
        <fgColor theme="4" tint="0.79979857783745845"/>
        <bgColor rgb="FFE2F0D9"/>
      </patternFill>
    </fill>
    <fill>
      <patternFill patternType="solid">
        <fgColor rgb="FF2F5496"/>
        <bgColor rgb="FF44546A"/>
      </patternFill>
    </fill>
    <fill>
      <patternFill patternType="solid">
        <fgColor theme="9" tint="0.79979857783745845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theme="1" tint="0.24939725943784904"/>
        <bgColor rgb="FF44546A"/>
      </patternFill>
    </fill>
    <fill>
      <patternFill patternType="solid">
        <fgColor theme="4" tint="0.59959715567491678"/>
        <bgColor rgb="FFD9D9D9"/>
      </patternFill>
    </fill>
    <fill>
      <patternFill patternType="solid">
        <fgColor theme="5" tint="0.79979857783745845"/>
        <bgColor rgb="FFE2F0D9"/>
      </patternFill>
    </fill>
    <fill>
      <patternFill patternType="solid">
        <fgColor theme="8" tint="-0.249977111117893"/>
        <bgColor rgb="FFC9C9C9"/>
      </patternFill>
    </fill>
    <fill>
      <patternFill patternType="solid">
        <fgColor theme="1" tint="0.249977111117893"/>
        <bgColor rgb="FF548235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0" borderId="0">
      <alignment vertical="center"/>
    </xf>
    <xf numFmtId="0" fontId="2" fillId="8" borderId="0">
      <alignment vertical="center"/>
    </xf>
    <xf numFmtId="0" fontId="3" fillId="0" borderId="0">
      <alignment vertical="center"/>
    </xf>
  </cellStyleXfs>
  <cellXfs count="167">
    <xf numFmtId="0" fontId="0" fillId="0" borderId="0" xfId="0">
      <alignment vertical="center"/>
    </xf>
    <xf numFmtId="0" fontId="30" fillId="15" borderId="18" xfId="0" applyFont="1" applyFill="1" applyBorder="1" applyAlignment="1">
      <alignment horizontal="center" vertical="center"/>
    </xf>
    <xf numFmtId="0" fontId="30" fillId="12" borderId="18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 applyProtection="1">
      <protection locked="0"/>
    </xf>
    <xf numFmtId="176" fontId="4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9" fontId="7" fillId="0" borderId="0" xfId="0" applyNumberFormat="1" applyFont="1" applyAlignment="1" applyProtection="1">
      <protection locked="0"/>
    </xf>
    <xf numFmtId="178" fontId="7" fillId="0" borderId="0" xfId="0" applyNumberFormat="1" applyFont="1">
      <alignment vertical="center"/>
    </xf>
    <xf numFmtId="0" fontId="8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9" fontId="10" fillId="10" borderId="5" xfId="0" applyNumberFormat="1" applyFont="1" applyFill="1" applyBorder="1" applyAlignment="1" applyProtection="1">
      <alignment horizontal="center" vertical="center" wrapText="1"/>
      <protection locked="0"/>
    </xf>
    <xf numFmtId="9" fontId="10" fillId="10" borderId="1" xfId="0" applyNumberFormat="1" applyFont="1" applyFill="1" applyBorder="1" applyAlignment="1" applyProtection="1">
      <alignment horizontal="center" vertical="center" wrapText="1"/>
      <protection locked="0"/>
    </xf>
    <xf numFmtId="9" fontId="10" fillId="10" borderId="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176" fontId="4" fillId="11" borderId="6" xfId="0" applyNumberFormat="1" applyFont="1" applyFill="1" applyBorder="1">
      <alignment vertical="center"/>
    </xf>
    <xf numFmtId="176" fontId="4" fillId="11" borderId="3" xfId="0" applyNumberFormat="1" applyFont="1" applyFill="1" applyBorder="1">
      <alignment vertical="center"/>
    </xf>
    <xf numFmtId="179" fontId="4" fillId="0" borderId="3" xfId="0" applyNumberFormat="1" applyFont="1" applyBorder="1" applyAlignment="1" applyProtection="1">
      <protection locked="0"/>
    </xf>
    <xf numFmtId="0" fontId="4" fillId="0" borderId="8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178" fontId="4" fillId="0" borderId="9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vertical="top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6" xfId="0" applyFont="1" applyBorder="1">
      <alignment vertical="center"/>
    </xf>
    <xf numFmtId="0" fontId="12" fillId="0" borderId="3" xfId="0" applyFont="1" applyBorder="1" applyAlignment="1">
      <alignment vertical="top"/>
    </xf>
    <xf numFmtId="0" fontId="16" fillId="0" borderId="10" xfId="0" applyFont="1" applyBorder="1" applyAlignment="1">
      <alignment vertical="top"/>
    </xf>
    <xf numFmtId="0" fontId="4" fillId="0" borderId="7" xfId="0" applyFont="1" applyBorder="1">
      <alignment vertical="center"/>
    </xf>
    <xf numFmtId="0" fontId="11" fillId="0" borderId="11" xfId="0" applyFont="1" applyBorder="1" applyAlignment="1">
      <alignment horizontal="left" vertical="center"/>
    </xf>
    <xf numFmtId="0" fontId="13" fillId="11" borderId="12" xfId="0" applyFont="1" applyFill="1" applyBorder="1" applyAlignment="1">
      <alignment horizontal="left" vertical="center"/>
    </xf>
    <xf numFmtId="0" fontId="4" fillId="0" borderId="11" xfId="0" applyFont="1" applyBorder="1">
      <alignment vertical="center"/>
    </xf>
    <xf numFmtId="176" fontId="4" fillId="11" borderId="11" xfId="0" applyNumberFormat="1" applyFont="1" applyFill="1" applyBorder="1">
      <alignment vertical="center"/>
    </xf>
    <xf numFmtId="176" fontId="4" fillId="11" borderId="0" xfId="0" applyNumberFormat="1" applyFont="1" applyFill="1">
      <alignment vertical="center"/>
    </xf>
    <xf numFmtId="176" fontId="4" fillId="11" borderId="12" xfId="0" applyNumberFormat="1" applyFont="1" applyFill="1" applyBorder="1">
      <alignment vertical="center"/>
    </xf>
    <xf numFmtId="179" fontId="4" fillId="0" borderId="12" xfId="0" applyNumberFormat="1" applyFont="1" applyBorder="1" applyAlignment="1" applyProtection="1">
      <protection locked="0"/>
    </xf>
    <xf numFmtId="176" fontId="4" fillId="12" borderId="0" xfId="0" applyNumberFormat="1" applyFont="1" applyFill="1" applyAlignment="1">
      <alignment horizontal="right" vertical="center"/>
    </xf>
    <xf numFmtId="176" fontId="4" fillId="12" borderId="0" xfId="0" applyNumberFormat="1" applyFont="1" applyFill="1">
      <alignment vertical="center"/>
    </xf>
    <xf numFmtId="37" fontId="4" fillId="0" borderId="0" xfId="0" applyNumberFormat="1" applyFont="1">
      <alignment vertical="center"/>
    </xf>
    <xf numFmtId="37" fontId="4" fillId="0" borderId="12" xfId="0" applyNumberFormat="1" applyFont="1" applyBorder="1">
      <alignment vertical="center"/>
    </xf>
    <xf numFmtId="0" fontId="17" fillId="0" borderId="0" xfId="0" applyFont="1" applyAlignment="1">
      <alignment vertical="top"/>
    </xf>
    <xf numFmtId="0" fontId="19" fillId="0" borderId="13" xfId="0" applyFont="1" applyBorder="1" applyAlignment="1">
      <alignment vertical="top"/>
    </xf>
    <xf numFmtId="0" fontId="4" fillId="0" borderId="12" xfId="0" applyFont="1" applyBorder="1">
      <alignment vertical="center"/>
    </xf>
    <xf numFmtId="0" fontId="20" fillId="0" borderId="1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21" fillId="11" borderId="0" xfId="0" applyFont="1" applyFill="1">
      <alignment vertical="center"/>
    </xf>
    <xf numFmtId="178" fontId="21" fillId="11" borderId="0" xfId="0" applyNumberFormat="1" applyFont="1" applyFill="1">
      <alignment vertical="center"/>
    </xf>
    <xf numFmtId="39" fontId="21" fillId="11" borderId="0" xfId="0" applyNumberFormat="1" applyFont="1" applyFill="1">
      <alignment vertical="center"/>
    </xf>
    <xf numFmtId="0" fontId="19" fillId="0" borderId="0" xfId="0" applyFont="1" applyAlignment="1">
      <alignment vertical="top"/>
    </xf>
    <xf numFmtId="0" fontId="17" fillId="0" borderId="13" xfId="0" applyFont="1" applyBorder="1" applyAlignment="1">
      <alignment vertical="top"/>
    </xf>
    <xf numFmtId="176" fontId="4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176" fontId="4" fillId="0" borderId="12" xfId="0" applyNumberFormat="1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9" fontId="23" fillId="0" borderId="11" xfId="0" applyNumberFormat="1" applyFont="1" applyBorder="1">
      <alignment vertical="center"/>
    </xf>
    <xf numFmtId="9" fontId="23" fillId="0" borderId="0" xfId="0" applyNumberFormat="1" applyFont="1">
      <alignment vertical="center"/>
    </xf>
    <xf numFmtId="9" fontId="23" fillId="0" borderId="12" xfId="0" applyNumberFormat="1" applyFont="1" applyBorder="1">
      <alignment vertical="center"/>
    </xf>
    <xf numFmtId="179" fontId="23" fillId="0" borderId="11" xfId="0" applyNumberFormat="1" applyFont="1" applyBorder="1" applyAlignment="1">
      <alignment horizontal="right" vertical="center" wrapText="1"/>
    </xf>
    <xf numFmtId="179" fontId="23" fillId="0" borderId="0" xfId="0" applyNumberFormat="1" applyFont="1" applyAlignment="1">
      <alignment horizontal="right" vertical="center" wrapText="1"/>
    </xf>
    <xf numFmtId="179" fontId="23" fillId="0" borderId="12" xfId="0" applyNumberFormat="1" applyFont="1" applyBorder="1" applyAlignment="1">
      <alignment horizontal="right" vertical="center" wrapText="1"/>
    </xf>
    <xf numFmtId="178" fontId="4" fillId="0" borderId="12" xfId="0" applyNumberFormat="1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178" fontId="4" fillId="0" borderId="0" xfId="0" applyNumberFormat="1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vertical="top"/>
    </xf>
    <xf numFmtId="0" fontId="16" fillId="0" borderId="13" xfId="0" applyFont="1" applyBorder="1" applyAlignment="1">
      <alignment vertical="top"/>
    </xf>
    <xf numFmtId="0" fontId="11" fillId="0" borderId="11" xfId="0" applyFont="1" applyBorder="1" applyAlignment="1">
      <alignment vertical="center" wrapText="1"/>
    </xf>
    <xf numFmtId="0" fontId="21" fillId="0" borderId="11" xfId="0" applyFont="1" applyBorder="1">
      <alignment vertical="center"/>
    </xf>
    <xf numFmtId="176" fontId="21" fillId="0" borderId="0" xfId="0" applyNumberFormat="1" applyFont="1" applyAlignment="1">
      <alignment horizontal="right" vertical="center"/>
    </xf>
    <xf numFmtId="176" fontId="21" fillId="0" borderId="0" xfId="0" applyNumberFormat="1" applyFont="1" applyAlignment="1">
      <alignment horizontal="right" vertical="center" wrapText="1"/>
    </xf>
    <xf numFmtId="178" fontId="21" fillId="0" borderId="12" xfId="0" applyNumberFormat="1" applyFont="1" applyBorder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 wrapText="1"/>
    </xf>
    <xf numFmtId="180" fontId="4" fillId="0" borderId="12" xfId="0" applyNumberFormat="1" applyFont="1" applyBorder="1" applyAlignment="1">
      <alignment horizontal="right" vertical="center"/>
    </xf>
    <xf numFmtId="176" fontId="26" fillId="11" borderId="11" xfId="0" applyNumberFormat="1" applyFont="1" applyFill="1" applyBorder="1">
      <alignment vertical="center"/>
    </xf>
    <xf numFmtId="176" fontId="26" fillId="11" borderId="0" xfId="0" applyNumberFormat="1" applyFont="1" applyFill="1">
      <alignment vertical="center"/>
    </xf>
    <xf numFmtId="176" fontId="26" fillId="11" borderId="12" xfId="0" applyNumberFormat="1" applyFont="1" applyFill="1" applyBorder="1">
      <alignment vertical="center"/>
    </xf>
    <xf numFmtId="0" fontId="17" fillId="0" borderId="11" xfId="0" applyFont="1" applyBorder="1" applyAlignment="1">
      <alignment vertical="top"/>
    </xf>
    <xf numFmtId="179" fontId="23" fillId="0" borderId="11" xfId="0" applyNumberFormat="1" applyFont="1" applyBorder="1">
      <alignment vertical="center"/>
    </xf>
    <xf numFmtId="179" fontId="23" fillId="0" borderId="0" xfId="0" applyNumberFormat="1" applyFont="1">
      <alignment vertical="center"/>
    </xf>
    <xf numFmtId="179" fontId="23" fillId="0" borderId="12" xfId="0" applyNumberFormat="1" applyFont="1" applyBorder="1">
      <alignment vertical="center"/>
    </xf>
    <xf numFmtId="176" fontId="26" fillId="11" borderId="14" xfId="0" applyNumberFormat="1" applyFont="1" applyFill="1" applyBorder="1">
      <alignment vertical="center"/>
    </xf>
    <xf numFmtId="176" fontId="26" fillId="11" borderId="15" xfId="0" applyNumberFormat="1" applyFont="1" applyFill="1" applyBorder="1">
      <alignment vertical="center"/>
    </xf>
    <xf numFmtId="176" fontId="26" fillId="11" borderId="16" xfId="0" applyNumberFormat="1" applyFont="1" applyFill="1" applyBorder="1">
      <alignment vertical="center"/>
    </xf>
    <xf numFmtId="0" fontId="4" fillId="0" borderId="14" xfId="0" applyFont="1" applyBorder="1">
      <alignment vertical="center"/>
    </xf>
    <xf numFmtId="176" fontId="4" fillId="0" borderId="15" xfId="0" applyNumberFormat="1" applyFont="1" applyBorder="1" applyAlignment="1">
      <alignment horizontal="right" vertical="center"/>
    </xf>
    <xf numFmtId="176" fontId="4" fillId="0" borderId="15" xfId="0" applyNumberFormat="1" applyFont="1" applyBorder="1" applyAlignment="1">
      <alignment horizontal="right" vertical="center" wrapText="1"/>
    </xf>
    <xf numFmtId="180" fontId="4" fillId="0" borderId="16" xfId="0" applyNumberFormat="1" applyFont="1" applyBorder="1" applyAlignment="1">
      <alignment horizontal="right" vertical="center"/>
    </xf>
    <xf numFmtId="0" fontId="17" fillId="0" borderId="14" xfId="0" applyFont="1" applyBorder="1" applyAlignment="1">
      <alignment vertical="top"/>
    </xf>
    <xf numFmtId="176" fontId="4" fillId="11" borderId="7" xfId="0" applyNumberFormat="1" applyFont="1" applyFill="1" applyBorder="1">
      <alignment vertical="center"/>
    </xf>
    <xf numFmtId="179" fontId="4" fillId="0" borderId="7" xfId="0" applyNumberFormat="1" applyFont="1" applyBorder="1" applyAlignment="1" applyProtection="1">
      <protection locked="0"/>
    </xf>
    <xf numFmtId="0" fontId="4" fillId="0" borderId="9" xfId="0" applyFont="1" applyBorder="1">
      <alignment vertical="center"/>
    </xf>
    <xf numFmtId="0" fontId="11" fillId="0" borderId="6" xfId="0" applyFont="1" applyBorder="1">
      <alignment vertical="center"/>
    </xf>
    <xf numFmtId="0" fontId="12" fillId="0" borderId="3" xfId="0" applyFont="1" applyBorder="1" applyAlignment="1">
      <alignment vertical="top" wrapText="1"/>
    </xf>
    <xf numFmtId="0" fontId="16" fillId="0" borderId="10" xfId="0" applyFont="1" applyBorder="1" applyAlignment="1">
      <alignment vertical="top" wrapText="1"/>
    </xf>
    <xf numFmtId="176" fontId="27" fillId="12" borderId="0" xfId="0" applyNumberFormat="1" applyFont="1" applyFill="1" applyAlignment="1">
      <alignment horizontal="right" vertical="center"/>
    </xf>
    <xf numFmtId="176" fontId="27" fillId="12" borderId="0" xfId="0" applyNumberFormat="1" applyFont="1" applyFill="1">
      <alignment vertical="center"/>
    </xf>
    <xf numFmtId="0" fontId="19" fillId="0" borderId="0" xfId="0" applyFont="1" applyAlignment="1">
      <alignment vertical="top" wrapText="1"/>
    </xf>
    <xf numFmtId="0" fontId="19" fillId="0" borderId="13" xfId="0" applyFont="1" applyBorder="1" applyAlignment="1">
      <alignment vertical="top" wrapText="1"/>
    </xf>
    <xf numFmtId="0" fontId="17" fillId="0" borderId="13" xfId="0" applyFont="1" applyBorder="1" applyAlignment="1">
      <alignment vertical="top" wrapText="1"/>
    </xf>
    <xf numFmtId="0" fontId="16" fillId="0" borderId="13" xfId="0" applyFont="1" applyBorder="1" applyAlignment="1">
      <alignment vertical="top" wrapText="1"/>
    </xf>
    <xf numFmtId="0" fontId="16" fillId="0" borderId="11" xfId="0" applyFont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24" fillId="0" borderId="11" xfId="0" applyFont="1" applyBorder="1" applyAlignment="1">
      <alignment vertical="center" wrapText="1"/>
    </xf>
    <xf numFmtId="180" fontId="4" fillId="0" borderId="0" xfId="0" applyNumberFormat="1" applyFont="1" applyAlignment="1">
      <alignment horizontal="right" vertical="center"/>
    </xf>
    <xf numFmtId="0" fontId="15" fillId="0" borderId="10" xfId="0" applyFont="1" applyBorder="1" applyAlignment="1">
      <alignment vertical="top" wrapText="1"/>
    </xf>
    <xf numFmtId="0" fontId="18" fillId="0" borderId="0" xfId="0" applyFont="1" applyAlignment="1">
      <alignment vertical="top" wrapText="1"/>
    </xf>
    <xf numFmtId="0" fontId="18" fillId="0" borderId="13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0" borderId="13" xfId="0" applyFont="1" applyBorder="1" applyAlignment="1">
      <alignment vertical="top" wrapText="1"/>
    </xf>
    <xf numFmtId="0" fontId="18" fillId="0" borderId="11" xfId="0" applyFont="1" applyBorder="1" applyAlignment="1">
      <alignment vertical="top"/>
    </xf>
    <xf numFmtId="0" fontId="4" fillId="0" borderId="14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179" fontId="4" fillId="0" borderId="16" xfId="0" applyNumberFormat="1" applyFont="1" applyBorder="1" applyAlignment="1" applyProtection="1">
      <protection locked="0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18" fillId="0" borderId="17" xfId="0" applyFont="1" applyBorder="1" applyAlignment="1">
      <alignment vertical="top" wrapText="1"/>
    </xf>
    <xf numFmtId="0" fontId="28" fillId="0" borderId="0" xfId="0" applyFont="1" applyAlignment="1"/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176" fontId="29" fillId="0" borderId="0" xfId="0" applyNumberFormat="1" applyFont="1">
      <alignment vertical="center"/>
    </xf>
    <xf numFmtId="0" fontId="30" fillId="0" borderId="0" xfId="0" applyFont="1">
      <alignment vertical="center"/>
    </xf>
    <xf numFmtId="176" fontId="29" fillId="0" borderId="0" xfId="0" applyNumberFormat="1" applyFont="1" applyAlignment="1">
      <alignment horizontal="center" vertical="center"/>
    </xf>
    <xf numFmtId="0" fontId="32" fillId="13" borderId="18" xfId="0" applyFont="1" applyFill="1" applyBorder="1" applyAlignment="1">
      <alignment horizontal="center" vertical="center"/>
    </xf>
    <xf numFmtId="0" fontId="33" fillId="14" borderId="18" xfId="0" applyFont="1" applyFill="1" applyBorder="1">
      <alignment vertical="center"/>
    </xf>
    <xf numFmtId="0" fontId="29" fillId="0" borderId="0" xfId="0" applyFont="1" applyAlignment="1">
      <alignment horizontal="right" vertical="center"/>
    </xf>
    <xf numFmtId="0" fontId="34" fillId="13" borderId="18" xfId="0" applyFont="1" applyFill="1" applyBorder="1" applyAlignment="1">
      <alignment horizontal="center" vertical="center" wrapText="1"/>
    </xf>
    <xf numFmtId="0" fontId="35" fillId="13" borderId="18" xfId="0" applyFont="1" applyFill="1" applyBorder="1" applyAlignment="1">
      <alignment horizontal="left" vertical="center" wrapText="1"/>
    </xf>
    <xf numFmtId="176" fontId="29" fillId="12" borderId="18" xfId="0" applyNumberFormat="1" applyFont="1" applyFill="1" applyBorder="1">
      <alignment vertical="center"/>
    </xf>
    <xf numFmtId="176" fontId="30" fillId="12" borderId="0" xfId="0" applyNumberFormat="1" applyFont="1" applyFill="1">
      <alignment vertical="center"/>
    </xf>
    <xf numFmtId="176" fontId="30" fillId="15" borderId="0" xfId="0" applyNumberFormat="1" applyFont="1" applyFill="1">
      <alignment vertical="center"/>
    </xf>
    <xf numFmtId="176" fontId="30" fillId="7" borderId="0" xfId="0" applyNumberFormat="1" applyFont="1" applyFill="1">
      <alignment vertical="center"/>
    </xf>
    <xf numFmtId="176" fontId="29" fillId="7" borderId="0" xfId="0" applyNumberFormat="1" applyFont="1" applyFill="1">
      <alignment vertical="center"/>
    </xf>
    <xf numFmtId="0" fontId="35" fillId="13" borderId="18" xfId="0" applyFont="1" applyFill="1" applyBorder="1" applyAlignment="1">
      <alignment horizontal="right" vertical="center" wrapText="1"/>
    </xf>
    <xf numFmtId="176" fontId="29" fillId="7" borderId="18" xfId="0" applyNumberFormat="1" applyFont="1" applyFill="1" applyBorder="1">
      <alignment vertical="center"/>
    </xf>
    <xf numFmtId="0" fontId="34" fillId="13" borderId="18" xfId="0" applyFont="1" applyFill="1" applyBorder="1" applyAlignment="1">
      <alignment horizontal="left" vertical="center" wrapText="1"/>
    </xf>
    <xf numFmtId="0" fontId="38" fillId="13" borderId="18" xfId="0" applyFont="1" applyFill="1" applyBorder="1" applyAlignment="1">
      <alignment horizontal="left" vertical="center" wrapText="1"/>
    </xf>
    <xf numFmtId="176" fontId="29" fillId="15" borderId="18" xfId="0" applyNumberFormat="1" applyFont="1" applyFill="1" applyBorder="1">
      <alignment vertical="center"/>
    </xf>
    <xf numFmtId="176" fontId="29" fillId="15" borderId="18" xfId="0" applyNumberFormat="1" applyFont="1" applyFill="1" applyBorder="1" applyAlignment="1">
      <alignment vertical="center" wrapText="1"/>
    </xf>
    <xf numFmtId="176" fontId="39" fillId="0" borderId="0" xfId="0" applyNumberFormat="1" applyFont="1">
      <alignment vertical="center"/>
    </xf>
    <xf numFmtId="176" fontId="30" fillId="0" borderId="0" xfId="0" applyNumberFormat="1" applyFont="1">
      <alignment vertical="center"/>
    </xf>
    <xf numFmtId="0" fontId="37" fillId="16" borderId="2" xfId="0" applyFont="1" applyFill="1" applyBorder="1" applyAlignment="1">
      <alignment horizontal="center" vertical="center"/>
    </xf>
    <xf numFmtId="0" fontId="43" fillId="16" borderId="3" xfId="0" applyFont="1" applyFill="1" applyBorder="1" applyAlignment="1">
      <alignment horizontal="center" vertical="center"/>
    </xf>
    <xf numFmtId="9" fontId="43" fillId="16" borderId="4" xfId="0" applyNumberFormat="1" applyFont="1" applyFill="1" applyBorder="1" applyAlignment="1" applyProtection="1">
      <alignment horizontal="center" vertical="center" wrapText="1"/>
      <protection locked="0"/>
    </xf>
    <xf numFmtId="176" fontId="37" fillId="17" borderId="18" xfId="0" applyNumberFormat="1" applyFont="1" applyFill="1" applyBorder="1">
      <alignment vertical="center"/>
    </xf>
    <xf numFmtId="176" fontId="38" fillId="17" borderId="18" xfId="0" applyNumberFormat="1" applyFont="1" applyFill="1" applyBorder="1" applyAlignment="1">
      <alignment horizontal="center" vertical="center"/>
    </xf>
    <xf numFmtId="0" fontId="43" fillId="16" borderId="1" xfId="0" applyFont="1" applyFill="1" applyBorder="1" applyAlignment="1">
      <alignment horizontal="center" vertical="center"/>
    </xf>
    <xf numFmtId="9" fontId="43" fillId="16" borderId="2" xfId="0" applyNumberFormat="1" applyFont="1" applyFill="1" applyBorder="1" applyAlignment="1" applyProtection="1">
      <alignment horizontal="center" vertical="center" wrapText="1"/>
      <protection locked="0"/>
    </xf>
    <xf numFmtId="9" fontId="43" fillId="16" borderId="5" xfId="0" applyNumberFormat="1" applyFont="1" applyFill="1" applyBorder="1" applyAlignment="1" applyProtection="1">
      <alignment horizontal="center" vertical="center" wrapText="1"/>
      <protection locked="0"/>
    </xf>
    <xf numFmtId="9" fontId="43" fillId="16" borderId="4" xfId="0" applyNumberFormat="1" applyFont="1" applyFill="1" applyBorder="1" applyAlignment="1" applyProtection="1">
      <alignment horizontal="center" vertical="center" wrapText="1"/>
      <protection locked="0"/>
    </xf>
    <xf numFmtId="0" fontId="30" fillId="12" borderId="18" xfId="0" applyFont="1" applyFill="1" applyBorder="1" applyAlignment="1">
      <alignment horizontal="center" vertical="center"/>
    </xf>
    <xf numFmtId="0" fontId="30" fillId="7" borderId="18" xfId="0" applyFont="1" applyFill="1" applyBorder="1" applyAlignment="1">
      <alignment horizontal="center" vertical="center" wrapText="1"/>
    </xf>
    <xf numFmtId="0" fontId="30" fillId="15" borderId="18" xfId="0" applyFont="1" applyFill="1" applyBorder="1" applyAlignment="1">
      <alignment horizontal="center" vertical="center"/>
    </xf>
    <xf numFmtId="0" fontId="30" fillId="7" borderId="18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top"/>
    </xf>
    <xf numFmtId="0" fontId="11" fillId="0" borderId="14" xfId="0" applyFont="1" applyBorder="1" applyAlignment="1">
      <alignment vertical="top"/>
    </xf>
  </cellXfs>
  <cellStyles count="10">
    <cellStyle name="60% - 강조색1 2" xfId="1" xr:uid="{00000000-0005-0000-0000-000006000000}"/>
    <cellStyle name="60% - 강조색2 2" xfId="2" xr:uid="{00000000-0005-0000-0000-000007000000}"/>
    <cellStyle name="60% - 강조색3 2" xfId="3" xr:uid="{00000000-0005-0000-0000-000008000000}"/>
    <cellStyle name="60% - 강조색4 2" xfId="4" xr:uid="{00000000-0005-0000-0000-000009000000}"/>
    <cellStyle name="60% - 강조색5 2" xfId="5" xr:uid="{00000000-0005-0000-0000-00000A000000}"/>
    <cellStyle name="60% - 강조색6 2" xfId="6" xr:uid="{00000000-0005-0000-0000-00000B000000}"/>
    <cellStyle name="보통 2" xfId="8" xr:uid="{00000000-0005-0000-0000-00000D000000}"/>
    <cellStyle name="표준" xfId="0" builtinId="0"/>
    <cellStyle name="표준 2" xfId="9" xr:uid="{00000000-0005-0000-0000-00000E000000}"/>
    <cellStyle name="Normal 3" xfId="7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9C9C9"/>
      <rgbColor rgb="FF808080"/>
      <rgbColor rgb="FF8FAADC"/>
      <rgbColor rgb="FF993366"/>
      <rgbColor rgb="FFFBE5D6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D9D9"/>
      <rgbColor rgb="FFE2F0D9"/>
      <rgbColor rgb="FFFFEB9C"/>
      <rgbColor rgb="FF9CC3E6"/>
      <rgbColor rgb="FFF4B183"/>
      <rgbColor rgb="FFCC99FF"/>
      <rgbColor rgb="FFFFD966"/>
      <rgbColor rgb="FF3366FF"/>
      <rgbColor rgb="FF5B9BD5"/>
      <rgbColor rgb="FFA9D18E"/>
      <rgbColor rgb="FFFFC000"/>
      <rgbColor rgb="FFFF9900"/>
      <rgbColor rgb="FFED7D31"/>
      <rgbColor rgb="FF595959"/>
      <rgbColor rgb="FFB3B3B3"/>
      <rgbColor rgb="FF003366"/>
      <rgbColor rgb="FF70AD47"/>
      <rgbColor rgb="FF003300"/>
      <rgbColor rgb="FF44546A"/>
      <rgbColor rgb="FF9C57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Summary!$D$5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Summary!$E$5:$I$5</c:f>
              <c:numCache>
                <c:formatCode>_-* #,##0_-;\-* #,##0_-;_-* \-_-;_-@_-</c:formatCode>
                <c:ptCount val="5"/>
                <c:pt idx="0">
                  <c:v>17851906</c:v>
                </c:pt>
                <c:pt idx="1">
                  <c:v>25598609</c:v>
                </c:pt>
                <c:pt idx="2">
                  <c:v>33745470</c:v>
                </c:pt>
                <c:pt idx="3">
                  <c:v>25619585</c:v>
                </c:pt>
                <c:pt idx="4">
                  <c:v>23671759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8-4A0C-AC57-FD0F676B9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1"/>
        <c:axId val="76410691"/>
        <c:axId val="76630090"/>
      </c:barChart>
      <c:lineChart>
        <c:grouping val="standard"/>
        <c:varyColors val="0"/>
        <c:ser>
          <c:idx val="1"/>
          <c:order val="1"/>
          <c:tx>
            <c:strRef>
              <c:f>Summary!$D$9</c:f>
              <c:strCache>
                <c:ptCount val="1"/>
                <c:pt idx="0">
                  <c:v>EBIT/매출액(%)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squar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Summary!$E$9:$I$9</c:f>
              <c:numCache>
                <c:formatCode>0%</c:formatCode>
                <c:ptCount val="5"/>
                <c:pt idx="0">
                  <c:v>4.3046944119020117E-2</c:v>
                </c:pt>
                <c:pt idx="1">
                  <c:v>4.7413474693097583E-2</c:v>
                </c:pt>
                <c:pt idx="2">
                  <c:v>6.4104426460796074E-2</c:v>
                </c:pt>
                <c:pt idx="3">
                  <c:v>2.2458872772529299E-2</c:v>
                </c:pt>
                <c:pt idx="4">
                  <c:v>5.6866074042068442E-2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D8-4A0C-AC57-FD0F676B9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366338"/>
        <c:axId val="23385008"/>
      </c:lineChart>
      <c:catAx>
        <c:axId val="764106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76630090"/>
        <c:crosses val="autoZero"/>
        <c:auto val="1"/>
        <c:lblAlgn val="ctr"/>
        <c:lblOffset val="100"/>
        <c:noMultiLvlLbl val="0"/>
      </c:catAx>
      <c:valAx>
        <c:axId val="766300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76410691"/>
        <c:crosses val="autoZero"/>
        <c:crossBetween val="between"/>
      </c:valAx>
      <c:catAx>
        <c:axId val="136633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385008"/>
        <c:crosses val="autoZero"/>
        <c:auto val="1"/>
        <c:lblAlgn val="ctr"/>
        <c:lblOffset val="100"/>
        <c:noMultiLvlLbl val="0"/>
      </c:catAx>
      <c:valAx>
        <c:axId val="2338500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1366338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28440" cap="sq">
      <a:solidFill>
        <a:srgbClr val="5B9B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3277159193499905E-2"/>
          <c:y val="2.1936459909228399E-2"/>
          <c:w val="0.90911826662654205"/>
          <c:h val="0.94765506807866895"/>
        </c:manualLayout>
      </c:layout>
      <c:lineChart>
        <c:grouping val="standard"/>
        <c:varyColors val="0"/>
        <c:ser>
          <c:idx val="0"/>
          <c:order val="0"/>
          <c:tx>
            <c:strRef>
              <c:f>Summary!$D$19</c:f>
              <c:strCache>
                <c:ptCount val="1"/>
                <c:pt idx="0">
                  <c:v>영업활동현금흐름</c:v>
                </c:pt>
              </c:strCache>
            </c:strRef>
          </c:tx>
          <c:spPr>
            <a:ln w="38160" cap="rnd">
              <a:solidFill>
                <a:srgbClr val="5B9BD5"/>
              </a:solidFill>
              <a:round/>
            </a:ln>
          </c:spPr>
          <c:marker>
            <c:symbol val="diamond"/>
            <c:size val="6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Summary!$E$19:$I$19</c:f>
              <c:numCache>
                <c:formatCode>_-* #,##0_-;\-* #,##0_-;_-* \-_-;_-@_-</c:formatCode>
                <c:ptCount val="5"/>
                <c:pt idx="0">
                  <c:v>978585</c:v>
                </c:pt>
                <c:pt idx="1">
                  <c:v>-579807</c:v>
                </c:pt>
                <c:pt idx="2">
                  <c:v>4444179</c:v>
                </c:pt>
                <c:pt idx="3">
                  <c:v>5111700</c:v>
                </c:pt>
                <c:pt idx="4">
                  <c:v>4432277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4-4748-A88D-090F32538887}"/>
            </c:ext>
          </c:extLst>
        </c:ser>
        <c:ser>
          <c:idx val="1"/>
          <c:order val="1"/>
          <c:tx>
            <c:strRef>
              <c:f>Summary!$D$20</c:f>
              <c:strCache>
                <c:ptCount val="1"/>
                <c:pt idx="0">
                  <c:v>투자활동현금흐름</c:v>
                </c:pt>
              </c:strCache>
            </c:strRef>
          </c:tx>
          <c:spPr>
            <a:ln w="38160" cap="rnd">
              <a:solidFill>
                <a:srgbClr val="548235"/>
              </a:solidFill>
              <a:round/>
            </a:ln>
          </c:spPr>
          <c:marker>
            <c:symbol val="square"/>
            <c:size val="6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Summary!$E$20:$I$20</c:f>
              <c:numCache>
                <c:formatCode>_-* #,##0_-;\-* #,##0_-;_-* \-_-;_-@_-</c:formatCode>
                <c:ptCount val="5"/>
                <c:pt idx="0">
                  <c:v>-2178121</c:v>
                </c:pt>
                <c:pt idx="1">
                  <c:v>-6259356</c:v>
                </c:pt>
                <c:pt idx="2">
                  <c:v>-9719327</c:v>
                </c:pt>
                <c:pt idx="3">
                  <c:v>-12065447</c:v>
                </c:pt>
                <c:pt idx="4">
                  <c:v>-10881277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04-4748-A88D-090F32538887}"/>
            </c:ext>
          </c:extLst>
        </c:ser>
        <c:ser>
          <c:idx val="2"/>
          <c:order val="2"/>
          <c:tx>
            <c:strRef>
              <c:f>Summary!$D$21</c:f>
              <c:strCache>
                <c:ptCount val="1"/>
                <c:pt idx="0">
                  <c:v>재무활동현금흐름</c:v>
                </c:pt>
              </c:strCache>
            </c:strRef>
          </c:tx>
          <c:spPr>
            <a:ln w="38160" cap="rnd">
              <a:solidFill>
                <a:srgbClr val="FF0000"/>
              </a:solidFill>
              <a:round/>
            </a:ln>
          </c:spPr>
          <c:marker>
            <c:symbol val="triangle"/>
            <c:size val="6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Summary!$E$21:$I$21</c:f>
              <c:numCache>
                <c:formatCode>_-* #,##0_-;\-* #,##0_-;_-* \-_-;_-@_-</c:formatCode>
                <c:ptCount val="5"/>
                <c:pt idx="0">
                  <c:v>882835</c:v>
                </c:pt>
                <c:pt idx="1">
                  <c:v>11414617</c:v>
                </c:pt>
                <c:pt idx="2">
                  <c:v>4354690</c:v>
                </c:pt>
                <c:pt idx="3">
                  <c:v>5381505</c:v>
                </c:pt>
                <c:pt idx="4">
                  <c:v>6285926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04-4748-A88D-090F32538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6548709"/>
        <c:axId val="56669604"/>
      </c:lineChart>
      <c:catAx>
        <c:axId val="9654870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u="none" strike="noStrike" spc="119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56669604"/>
        <c:crosses val="autoZero"/>
        <c:auto val="1"/>
        <c:lblAlgn val="ctr"/>
        <c:lblOffset val="100"/>
        <c:noMultiLvlLbl val="0"/>
      </c:catAx>
      <c:valAx>
        <c:axId val="56669604"/>
        <c:scaling>
          <c:orientation val="minMax"/>
        </c:scaling>
        <c:delete val="0"/>
        <c:axPos val="l"/>
        <c:numFmt formatCode="_(* #,##0_);_(* \(#,##0\);_(* \-_);_(@_)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965487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layout>
        <c:manualLayout>
          <c:xMode val="edge"/>
          <c:yMode val="edge"/>
          <c:x val="0.24318439296935601"/>
          <c:y val="3.1936122725238901E-2"/>
          <c:w val="0.75681560703064399"/>
          <c:h val="0.11339167093907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ko-KR"/>
        </a:p>
      </c:txPr>
    </c:legend>
    <c:plotVisOnly val="0"/>
    <c:dispBlanksAs val="gap"/>
    <c:showDLblsOverMax val="1"/>
  </c:chart>
  <c:spPr>
    <a:solidFill>
      <a:srgbClr val="FFFFFF"/>
    </a:solidFill>
    <a:ln w="28440">
      <a:solidFill>
        <a:srgbClr val="5B9B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Summary!$D$22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Summary!$E$22:$I$22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3-4B9F-AEC6-50D0B0AE6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1"/>
        <c:axId val="18408756"/>
        <c:axId val="62568898"/>
      </c:barChart>
      <c:lineChart>
        <c:grouping val="standard"/>
        <c:varyColors val="0"/>
        <c:ser>
          <c:idx val="1"/>
          <c:order val="1"/>
          <c:tx>
            <c:strRef>
              <c:f>Summary!$D$26</c:f>
              <c:strCache>
                <c:ptCount val="1"/>
                <c:pt idx="0">
                  <c:v>EBIT/매출액(%)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squar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Summary!$E$26:$I$26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3-4B9F-AEC6-50D0B0AE6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7921132"/>
        <c:axId val="5117182"/>
      </c:lineChart>
      <c:catAx>
        <c:axId val="184087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62568898"/>
        <c:crosses val="autoZero"/>
        <c:auto val="1"/>
        <c:lblAlgn val="ctr"/>
        <c:lblOffset val="100"/>
        <c:noMultiLvlLbl val="0"/>
      </c:catAx>
      <c:valAx>
        <c:axId val="625688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18408756"/>
        <c:crosses val="autoZero"/>
        <c:crossBetween val="between"/>
      </c:valAx>
      <c:catAx>
        <c:axId val="779211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17182"/>
        <c:crosses val="autoZero"/>
        <c:auto val="1"/>
        <c:lblAlgn val="ctr"/>
        <c:lblOffset val="100"/>
        <c:noMultiLvlLbl val="0"/>
      </c:catAx>
      <c:valAx>
        <c:axId val="5117182"/>
        <c:scaling>
          <c:orientation val="minMax"/>
        </c:scaling>
        <c:delete val="0"/>
        <c:axPos val="r"/>
        <c:numFmt formatCode="0.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77921132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25560" cap="sq">
      <a:solidFill>
        <a:srgbClr val="8FAADC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3277159193499905E-2"/>
          <c:y val="2.2068758444678E-2"/>
          <c:w val="0.90911826662654205"/>
          <c:h val="0.94775559225341499"/>
        </c:manualLayout>
      </c:layout>
      <c:lineChart>
        <c:grouping val="standard"/>
        <c:varyColors val="0"/>
        <c:ser>
          <c:idx val="0"/>
          <c:order val="0"/>
          <c:tx>
            <c:strRef>
              <c:f>Summary!$D$36</c:f>
              <c:strCache>
                <c:ptCount val="1"/>
                <c:pt idx="0">
                  <c:v>영업활동현금흐름</c:v>
                </c:pt>
              </c:strCache>
            </c:strRef>
          </c:tx>
          <c:spPr>
            <a:ln w="38160" cap="rnd">
              <a:solidFill>
                <a:srgbClr val="5B9BD5"/>
              </a:solidFill>
              <a:round/>
            </a:ln>
          </c:spPr>
          <c:marker>
            <c:symbol val="diamond"/>
            <c:size val="6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Summary!$E$36:$I$36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DD-4414-A89E-497C747A8F15}"/>
            </c:ext>
          </c:extLst>
        </c:ser>
        <c:ser>
          <c:idx val="1"/>
          <c:order val="1"/>
          <c:tx>
            <c:strRef>
              <c:f>Summary!$D$37</c:f>
              <c:strCache>
                <c:ptCount val="1"/>
                <c:pt idx="0">
                  <c:v>투자활동현금흐름</c:v>
                </c:pt>
              </c:strCache>
            </c:strRef>
          </c:tx>
          <c:spPr>
            <a:ln w="38160" cap="rnd">
              <a:solidFill>
                <a:srgbClr val="FF0000"/>
              </a:solidFill>
              <a:round/>
            </a:ln>
          </c:spPr>
          <c:marker>
            <c:symbol val="square"/>
            <c:size val="6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Summary!$E$37:$I$37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DD-4414-A89E-497C747A8F15}"/>
            </c:ext>
          </c:extLst>
        </c:ser>
        <c:ser>
          <c:idx val="2"/>
          <c:order val="2"/>
          <c:tx>
            <c:strRef>
              <c:f>Summary!$D$38</c:f>
              <c:strCache>
                <c:ptCount val="1"/>
                <c:pt idx="0">
                  <c:v>재무활동현금흐름</c:v>
                </c:pt>
              </c:strCache>
            </c:strRef>
          </c:tx>
          <c:spPr>
            <a:ln w="38160" cap="rnd">
              <a:solidFill>
                <a:srgbClr val="70AD47"/>
              </a:solidFill>
              <a:round/>
            </a:ln>
          </c:spPr>
          <c:marker>
            <c:symbol val="triangle"/>
            <c:size val="6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Summary!$E$38:$I$38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DD-4414-A89E-497C747A8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0673842"/>
        <c:axId val="5893190"/>
      </c:lineChart>
      <c:catAx>
        <c:axId val="9067384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u="none" strike="noStrike" spc="119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5893190"/>
        <c:crosses val="autoZero"/>
        <c:auto val="1"/>
        <c:lblAlgn val="ctr"/>
        <c:lblOffset val="100"/>
        <c:noMultiLvlLbl val="0"/>
      </c:catAx>
      <c:valAx>
        <c:axId val="5893190"/>
        <c:scaling>
          <c:orientation val="minMax"/>
        </c:scaling>
        <c:delete val="0"/>
        <c:axPos val="l"/>
        <c:numFmt formatCode="_(* #,##0_);_(* \(#,##0\);_(* \-_);_(@_)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906738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layout>
        <c:manualLayout>
          <c:xMode val="edge"/>
          <c:yMode val="edge"/>
          <c:x val="0.105614440337274"/>
          <c:y val="3.1936122725238901E-2"/>
          <c:w val="0.89438555966272604"/>
          <c:h val="0.234341816073149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ko-KR"/>
        </a:p>
      </c:txPr>
    </c:legend>
    <c:plotVisOnly val="0"/>
    <c:dispBlanksAs val="gap"/>
    <c:showDLblsOverMax val="1"/>
  </c:chart>
  <c:spPr>
    <a:solidFill>
      <a:srgbClr val="FFFFFF"/>
    </a:solidFill>
    <a:ln w="25560">
      <a:solidFill>
        <a:srgbClr val="5B9B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Summary!$D$39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Summary!$E$39:$I$39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A-4740-9488-0FE603BC9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1"/>
        <c:axId val="10255070"/>
        <c:axId val="28844014"/>
      </c:barChart>
      <c:lineChart>
        <c:grouping val="standard"/>
        <c:varyColors val="0"/>
        <c:ser>
          <c:idx val="1"/>
          <c:order val="1"/>
          <c:tx>
            <c:strRef>
              <c:f>Summary!$D$43</c:f>
              <c:strCache>
                <c:ptCount val="1"/>
                <c:pt idx="0">
                  <c:v>EBIT/매출액(%)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squar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Summary!$E$43:$I$43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2A-4740-9488-0FE603BC9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0041439"/>
        <c:axId val="11445434"/>
      </c:lineChart>
      <c:catAx>
        <c:axId val="102550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28844014"/>
        <c:crosses val="autoZero"/>
        <c:auto val="1"/>
        <c:lblAlgn val="ctr"/>
        <c:lblOffset val="100"/>
        <c:noMultiLvlLbl val="0"/>
      </c:catAx>
      <c:valAx>
        <c:axId val="288440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10255070"/>
        <c:crosses val="autoZero"/>
        <c:crossBetween val="between"/>
      </c:valAx>
      <c:catAx>
        <c:axId val="90041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445434"/>
        <c:crosses val="autoZero"/>
        <c:auto val="1"/>
        <c:lblAlgn val="ctr"/>
        <c:lblOffset val="100"/>
        <c:noMultiLvlLbl val="0"/>
      </c:catAx>
      <c:valAx>
        <c:axId val="11445434"/>
        <c:scaling>
          <c:orientation val="minMax"/>
        </c:scaling>
        <c:delete val="0"/>
        <c:axPos val="r"/>
        <c:numFmt formatCode="0.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90041439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25560" cap="sq">
      <a:solidFill>
        <a:srgbClr val="8FAADC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3237669567944794E-2"/>
          <c:y val="2.2037133437445799E-2"/>
          <c:w val="0.90904100995844095"/>
          <c:h val="0.947249696338713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Summary!$D$12</c:f>
              <c:strCache>
                <c:ptCount val="1"/>
                <c:pt idx="0">
                  <c:v>자산</c:v>
                </c:pt>
              </c:strCache>
            </c:strRef>
          </c:tx>
          <c:spPr>
            <a:solidFill>
              <a:srgbClr val="00B0F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Summary!$E$12:$I$12</c:f>
              <c:numCache>
                <c:formatCode>_-* #,##0_-;\-* #,##0_-;_-* \-_-;_-@_-</c:formatCode>
                <c:ptCount val="5"/>
                <c:pt idx="0">
                  <c:v>23764137</c:v>
                </c:pt>
                <c:pt idx="1">
                  <c:v>38299445</c:v>
                </c:pt>
                <c:pt idx="2">
                  <c:v>45437144</c:v>
                </c:pt>
                <c:pt idx="3">
                  <c:v>60306791</c:v>
                </c:pt>
                <c:pt idx="4">
                  <c:v>67147953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F-4965-8B94-3ABC6067ADC3}"/>
            </c:ext>
          </c:extLst>
        </c:ser>
        <c:ser>
          <c:idx val="1"/>
          <c:order val="1"/>
          <c:tx>
            <c:strRef>
              <c:f>Summary!$D$13</c:f>
              <c:strCache>
                <c:ptCount val="1"/>
                <c:pt idx="0">
                  <c:v>부채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Summary!$E$13:$I$13</c:f>
              <c:numCache>
                <c:formatCode>_-* #,##0_-;\-* #,##0_-;_-* \-_-;_-@_-</c:formatCode>
                <c:ptCount val="5"/>
                <c:pt idx="0">
                  <c:v>15021764</c:v>
                </c:pt>
                <c:pt idx="1">
                  <c:v>17705683</c:v>
                </c:pt>
                <c:pt idx="2">
                  <c:v>21063635</c:v>
                </c:pt>
                <c:pt idx="3">
                  <c:v>29340248</c:v>
                </c:pt>
                <c:pt idx="4">
                  <c:v>37826277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EF-4965-8B94-3ABC6067A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6644"/>
        <c:axId val="8340758"/>
      </c:barChart>
      <c:lineChart>
        <c:grouping val="standard"/>
        <c:varyColors val="0"/>
        <c:ser>
          <c:idx val="2"/>
          <c:order val="2"/>
          <c:tx>
            <c:strRef>
              <c:f>Summary!$D$18</c:f>
              <c:strCache>
                <c:ptCount val="1"/>
                <c:pt idx="0">
                  <c:v>부채비율(%)</c:v>
                </c:pt>
              </c:strCache>
            </c:strRef>
          </c:tx>
          <c:spPr>
            <a:ln w="38160" cap="rnd">
              <a:solidFill>
                <a:srgbClr val="ED7D31"/>
              </a:solidFill>
              <a:round/>
            </a:ln>
          </c:spPr>
          <c:marker>
            <c:symbol val="squar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Summary!$E$18:$I$18</c:f>
              <c:numCache>
                <c:formatCode>0.0%</c:formatCode>
                <c:ptCount val="5"/>
                <c:pt idx="0">
                  <c:v>1.718270771562824</c:v>
                </c:pt>
                <c:pt idx="1">
                  <c:v>0.85975952329642347</c:v>
                </c:pt>
                <c:pt idx="2">
                  <c:v>0.86420199077613324</c:v>
                </c:pt>
                <c:pt idx="3">
                  <c:v>0.94748219069852258</c:v>
                </c:pt>
                <c:pt idx="4">
                  <c:v>1.2900448460040279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EF-4965-8B94-3ABC6067A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649370"/>
        <c:axId val="84286592"/>
      </c:lineChart>
      <c:catAx>
        <c:axId val="4161664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u="none" strike="noStrike" spc="119">
                <a:solidFill>
                  <a:srgbClr val="595959"/>
                </a:solidFill>
                <a:uFillTx/>
                <a:latin typeface="Calibri"/>
                <a:ea typeface="HY엽서L"/>
              </a:defRPr>
            </a:pPr>
            <a:endParaRPr lang="ko-KR"/>
          </a:p>
        </c:txPr>
        <c:crossAx val="8340758"/>
        <c:crosses val="autoZero"/>
        <c:auto val="1"/>
        <c:lblAlgn val="ctr"/>
        <c:lblOffset val="100"/>
        <c:noMultiLvlLbl val="0"/>
      </c:catAx>
      <c:valAx>
        <c:axId val="8340758"/>
        <c:scaling>
          <c:orientation val="minMax"/>
        </c:scaling>
        <c:delete val="0"/>
        <c:axPos val="l"/>
        <c:numFmt formatCode="_(* #,##0_);_(* \(#,##0\);_(* \-_);_(@_)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41616644"/>
        <c:crosses val="autoZero"/>
        <c:crossBetween val="between"/>
      </c:valAx>
      <c:catAx>
        <c:axId val="764937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286592"/>
        <c:crosses val="autoZero"/>
        <c:auto val="1"/>
        <c:lblAlgn val="ctr"/>
        <c:lblOffset val="100"/>
        <c:noMultiLvlLbl val="0"/>
      </c:catAx>
      <c:valAx>
        <c:axId val="84286592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7649370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layout>
        <c:manualLayout>
          <c:xMode val="edge"/>
          <c:yMode val="edge"/>
          <c:x val="0.24318439296935601"/>
          <c:y val="3.1936122725238901E-2"/>
          <c:w val="0.53183799786220798"/>
          <c:h val="0.11525870743356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ko-KR"/>
        </a:p>
      </c:txPr>
    </c:legend>
    <c:plotVisOnly val="0"/>
    <c:dispBlanksAs val="gap"/>
    <c:showDLblsOverMax val="1"/>
  </c:chart>
  <c:spPr>
    <a:solidFill>
      <a:srgbClr val="FFFFFF"/>
    </a:solidFill>
    <a:ln w="28440">
      <a:solidFill>
        <a:srgbClr val="5B9B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3257248611967904E-2"/>
          <c:y val="2.20894441426761E-2"/>
          <c:w val="0.90908389882788398"/>
          <c:h val="0.947130182871627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Summary!$D$29</c:f>
              <c:strCache>
                <c:ptCount val="1"/>
                <c:pt idx="0">
                  <c:v>자산</c:v>
                </c:pt>
              </c:strCache>
            </c:strRef>
          </c:tx>
          <c:spPr>
            <a:solidFill>
              <a:srgbClr val="00B0F0"/>
            </a:solidFill>
            <a:ln w="0">
              <a:solidFill>
                <a:srgbClr val="00B0F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Summary!$E$29:$I$29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F-4458-96C2-1272C8D716E8}"/>
            </c:ext>
          </c:extLst>
        </c:ser>
        <c:ser>
          <c:idx val="1"/>
          <c:order val="1"/>
          <c:tx>
            <c:strRef>
              <c:f>Summary!$D$30</c:f>
              <c:strCache>
                <c:ptCount val="1"/>
                <c:pt idx="0">
                  <c:v>부채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Summary!$E$30:$I$30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F-4458-96C2-1272C8D71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49757"/>
        <c:axId val="11366492"/>
      </c:barChart>
      <c:lineChart>
        <c:grouping val="standard"/>
        <c:varyColors val="0"/>
        <c:ser>
          <c:idx val="2"/>
          <c:order val="2"/>
          <c:tx>
            <c:strRef>
              <c:f>Summary!$D$35</c:f>
              <c:strCache>
                <c:ptCount val="1"/>
                <c:pt idx="0">
                  <c:v>부채비율(%)</c:v>
                </c:pt>
              </c:strCache>
            </c:strRef>
          </c:tx>
          <c:spPr>
            <a:ln w="38160" cap="rnd">
              <a:solidFill>
                <a:srgbClr val="ED7D31"/>
              </a:solidFill>
              <a:round/>
            </a:ln>
          </c:spPr>
          <c:marker>
            <c:symbol val="squar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Summary!$E$35:$I$35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DF-4458-96C2-1272C8D71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365088"/>
        <c:axId val="94825897"/>
      </c:lineChart>
      <c:catAx>
        <c:axId val="2184975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u="none" strike="noStrike" spc="119">
                <a:solidFill>
                  <a:srgbClr val="595959"/>
                </a:solidFill>
                <a:uFillTx/>
                <a:latin typeface="Calibri"/>
                <a:ea typeface="HY엽서L"/>
              </a:defRPr>
            </a:pPr>
            <a:endParaRPr lang="ko-KR"/>
          </a:p>
        </c:txPr>
        <c:crossAx val="11366492"/>
        <c:crosses val="autoZero"/>
        <c:auto val="1"/>
        <c:lblAlgn val="ctr"/>
        <c:lblOffset val="100"/>
        <c:noMultiLvlLbl val="0"/>
      </c:catAx>
      <c:valAx>
        <c:axId val="11366492"/>
        <c:scaling>
          <c:orientation val="minMax"/>
        </c:scaling>
        <c:delete val="0"/>
        <c:axPos val="l"/>
        <c:numFmt formatCode="_(* #,##0_);_(* \(#,##0\);_(* \-_);_(@_)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21849757"/>
        <c:crosses val="autoZero"/>
        <c:crossBetween val="between"/>
      </c:valAx>
      <c:catAx>
        <c:axId val="57365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825897"/>
        <c:crosses val="autoZero"/>
        <c:auto val="1"/>
        <c:lblAlgn val="ctr"/>
        <c:lblOffset val="100"/>
        <c:noMultiLvlLbl val="0"/>
      </c:catAx>
      <c:valAx>
        <c:axId val="94825897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57365088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layout>
        <c:manualLayout>
          <c:xMode val="edge"/>
          <c:yMode val="edge"/>
          <c:x val="0.24318439296935601"/>
          <c:y val="3.1936122725238901E-2"/>
          <c:w val="0.53183799786220798"/>
          <c:h val="0.11525870743356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ko-KR"/>
        </a:p>
      </c:txPr>
    </c:legend>
    <c:plotVisOnly val="0"/>
    <c:dispBlanksAs val="gap"/>
    <c:showDLblsOverMax val="1"/>
  </c:chart>
  <c:spPr>
    <a:solidFill>
      <a:srgbClr val="FFFFFF"/>
    </a:solidFill>
    <a:ln w="25560">
      <a:solidFill>
        <a:srgbClr val="5B9B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3272208952923995E-2"/>
          <c:y val="2.1989906272530599E-2"/>
          <c:w val="0.90908390476924295"/>
          <c:h val="0.94718817591924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Summary!$D$46</c:f>
              <c:strCache>
                <c:ptCount val="1"/>
                <c:pt idx="0">
                  <c:v>자산</c:v>
                </c:pt>
              </c:strCache>
            </c:strRef>
          </c:tx>
          <c:spPr>
            <a:solidFill>
              <a:srgbClr val="00B0F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Summary!$E$46:$I$46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8-492C-99E0-E9AD0F22ABBC}"/>
            </c:ext>
          </c:extLst>
        </c:ser>
        <c:ser>
          <c:idx val="1"/>
          <c:order val="1"/>
          <c:tx>
            <c:strRef>
              <c:f>Summary!$D$47</c:f>
              <c:strCache>
                <c:ptCount val="1"/>
                <c:pt idx="0">
                  <c:v>부채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Summary!$E$47:$I$47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8-492C-99E0-E9AD0F22A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78207"/>
        <c:axId val="12573248"/>
      </c:barChart>
      <c:lineChart>
        <c:grouping val="standard"/>
        <c:varyColors val="0"/>
        <c:ser>
          <c:idx val="2"/>
          <c:order val="2"/>
          <c:tx>
            <c:strRef>
              <c:f>Summary!$D$52</c:f>
              <c:strCache>
                <c:ptCount val="1"/>
                <c:pt idx="0">
                  <c:v>부채비율(%)</c:v>
                </c:pt>
              </c:strCache>
            </c:strRef>
          </c:tx>
          <c:spPr>
            <a:ln w="22320" cap="rnd">
              <a:solidFill>
                <a:srgbClr val="ED7D31"/>
              </a:solidFill>
              <a:round/>
            </a:ln>
          </c:spPr>
          <c:marker>
            <c:symbol val="squar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Summary!$E$52:$I$52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D8-492C-99E0-E9AD0F22A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9451608"/>
        <c:axId val="60184690"/>
      </c:lineChart>
      <c:catAx>
        <c:axId val="8087820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u="none" strike="noStrike" spc="119">
                <a:solidFill>
                  <a:srgbClr val="595959"/>
                </a:solidFill>
                <a:uFillTx/>
                <a:latin typeface="Calibri"/>
                <a:ea typeface="HY엽서L"/>
              </a:defRPr>
            </a:pPr>
            <a:endParaRPr lang="ko-KR"/>
          </a:p>
        </c:txPr>
        <c:crossAx val="12573248"/>
        <c:crosses val="autoZero"/>
        <c:auto val="1"/>
        <c:lblAlgn val="ctr"/>
        <c:lblOffset val="100"/>
        <c:noMultiLvlLbl val="0"/>
      </c:catAx>
      <c:valAx>
        <c:axId val="12573248"/>
        <c:scaling>
          <c:orientation val="minMax"/>
        </c:scaling>
        <c:delete val="0"/>
        <c:axPos val="l"/>
        <c:numFmt formatCode="_(* #,##0_);_(* \(#,##0\);_(* \-_);_(@_)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80878207"/>
        <c:crosses val="autoZero"/>
        <c:crossBetween val="between"/>
      </c:valAx>
      <c:catAx>
        <c:axId val="69451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184690"/>
        <c:crosses val="autoZero"/>
        <c:auto val="1"/>
        <c:lblAlgn val="ctr"/>
        <c:lblOffset val="100"/>
        <c:noMultiLvlLbl val="0"/>
      </c:catAx>
      <c:valAx>
        <c:axId val="60184690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69451608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layout>
        <c:manualLayout>
          <c:xMode val="edge"/>
          <c:yMode val="edge"/>
          <c:x val="0.24318439296935601"/>
          <c:y val="3.1936122725238901E-2"/>
          <c:w val="0.53183799786220798"/>
          <c:h val="0.11525870743356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ko-KR"/>
        </a:p>
      </c:txPr>
    </c:legend>
    <c:plotVisOnly val="0"/>
    <c:dispBlanksAs val="gap"/>
    <c:showDLblsOverMax val="1"/>
  </c:chart>
  <c:spPr>
    <a:solidFill>
      <a:srgbClr val="FFFFFF"/>
    </a:solidFill>
    <a:ln w="25560">
      <a:solidFill>
        <a:srgbClr val="5B9B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Summary!$D$33</c:f>
              <c:strCache>
                <c:ptCount val="1"/>
                <c:pt idx="0">
                  <c:v>현금성자산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Summary!$E$33:$I$33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7-4D1E-B1B2-A167BF2EA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1"/>
        <c:axId val="93632907"/>
        <c:axId val="70806584"/>
      </c:barChart>
      <c:catAx>
        <c:axId val="936329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70806584"/>
        <c:crosses val="autoZero"/>
        <c:auto val="1"/>
        <c:lblAlgn val="ctr"/>
        <c:lblOffset val="100"/>
        <c:noMultiLvlLbl val="0"/>
      </c:catAx>
      <c:valAx>
        <c:axId val="708065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936329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25560" cap="sq">
      <a:solidFill>
        <a:srgbClr val="8FAADC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Summary!$D$16</c:f>
              <c:strCache>
                <c:ptCount val="1"/>
                <c:pt idx="0">
                  <c:v>현금성자산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Summary!$E$16:$I$16</c:f>
              <c:numCache>
                <c:formatCode>_-* #,##0_-;\-* #,##0_-;_-* \-_-;_-@_-</c:formatCode>
                <c:ptCount val="5"/>
                <c:pt idx="0">
                  <c:v>1282880</c:v>
                </c:pt>
                <c:pt idx="1">
                  <c:v>5937967</c:v>
                </c:pt>
                <c:pt idx="2">
                  <c:v>5068783</c:v>
                </c:pt>
                <c:pt idx="3">
                  <c:v>3898711</c:v>
                </c:pt>
                <c:pt idx="4">
                  <c:v>3779307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3-4ADB-AE55-B59487673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1"/>
        <c:axId val="85130924"/>
        <c:axId val="19443571"/>
      </c:barChart>
      <c:catAx>
        <c:axId val="851309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19443571"/>
        <c:crosses val="autoZero"/>
        <c:auto val="1"/>
        <c:lblAlgn val="ctr"/>
        <c:lblOffset val="100"/>
        <c:noMultiLvlLbl val="0"/>
      </c:catAx>
      <c:valAx>
        <c:axId val="1944357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851309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25560" cap="sq">
      <a:solidFill>
        <a:srgbClr val="8FAADC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Summary!$D$50</c:f>
              <c:strCache>
                <c:ptCount val="1"/>
                <c:pt idx="0">
                  <c:v>현금성자산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Summary!$E$50:$I$50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3-42F5-AD81-931019C3A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1"/>
        <c:axId val="96273580"/>
        <c:axId val="29661357"/>
      </c:barChart>
      <c:catAx>
        <c:axId val="962735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29661357"/>
        <c:crosses val="autoZero"/>
        <c:auto val="1"/>
        <c:lblAlgn val="ctr"/>
        <c:lblOffset val="100"/>
        <c:noMultiLvlLbl val="0"/>
      </c:catAx>
      <c:valAx>
        <c:axId val="296613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962735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25560" cap="sq">
      <a:solidFill>
        <a:srgbClr val="8FAADC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3277159193499905E-2"/>
          <c:y val="2.2068758444678E-2"/>
          <c:w val="0.90911826662654205"/>
          <c:h val="0.94775559225341499"/>
        </c:manualLayout>
      </c:layout>
      <c:lineChart>
        <c:grouping val="standard"/>
        <c:varyColors val="0"/>
        <c:ser>
          <c:idx val="0"/>
          <c:order val="0"/>
          <c:tx>
            <c:strRef>
              <c:f>Summary!$D$53</c:f>
              <c:strCache>
                <c:ptCount val="1"/>
                <c:pt idx="0">
                  <c:v>영업활동현금흐름</c:v>
                </c:pt>
              </c:strCache>
            </c:strRef>
          </c:tx>
          <c:spPr>
            <a:ln w="38160" cap="rnd">
              <a:solidFill>
                <a:srgbClr val="5B9BD5"/>
              </a:solidFill>
              <a:round/>
            </a:ln>
          </c:spPr>
          <c:marker>
            <c:symbol val="diamond"/>
            <c:size val="6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Summary!$E$53:$I$53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1-42F5-89DF-A14D1FAE5803}"/>
            </c:ext>
          </c:extLst>
        </c:ser>
        <c:ser>
          <c:idx val="1"/>
          <c:order val="1"/>
          <c:tx>
            <c:strRef>
              <c:f>Summary!$D$54</c:f>
              <c:strCache>
                <c:ptCount val="1"/>
                <c:pt idx="0">
                  <c:v>투자활동현금흐름</c:v>
                </c:pt>
              </c:strCache>
            </c:strRef>
          </c:tx>
          <c:spPr>
            <a:ln w="38160" cap="rnd">
              <a:solidFill>
                <a:srgbClr val="FF0000"/>
              </a:solidFill>
              <a:round/>
            </a:ln>
          </c:spPr>
          <c:marker>
            <c:symbol val="square"/>
            <c:size val="6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Summary!$E$54:$I$54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1-42F5-89DF-A14D1FAE5803}"/>
            </c:ext>
          </c:extLst>
        </c:ser>
        <c:ser>
          <c:idx val="2"/>
          <c:order val="2"/>
          <c:tx>
            <c:strRef>
              <c:f>Summary!$D$55</c:f>
              <c:strCache>
                <c:ptCount val="1"/>
                <c:pt idx="0">
                  <c:v>재무활동현금흐름</c:v>
                </c:pt>
              </c:strCache>
            </c:strRef>
          </c:tx>
          <c:spPr>
            <a:ln w="38160" cap="rnd">
              <a:solidFill>
                <a:srgbClr val="70AD47"/>
              </a:solidFill>
              <a:round/>
            </a:ln>
          </c:spPr>
          <c:marker>
            <c:symbol val="triangle"/>
            <c:size val="6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Summary!$E$4:$I$4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Summary!$E$55:$I$55</c:f>
              <c:numCache>
                <c:formatCode>_-* #,##0_-;\-* #,##0_-;_-* \-_-;_-@_-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71-42F5-89DF-A14D1FAE5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4680131"/>
        <c:axId val="36431959"/>
      </c:lineChart>
      <c:catAx>
        <c:axId val="7468013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u="none" strike="noStrike" spc="119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36431959"/>
        <c:crosses val="autoZero"/>
        <c:auto val="1"/>
        <c:lblAlgn val="ctr"/>
        <c:lblOffset val="100"/>
        <c:noMultiLvlLbl val="0"/>
      </c:catAx>
      <c:valAx>
        <c:axId val="36431959"/>
        <c:scaling>
          <c:orientation val="minMax"/>
        </c:scaling>
        <c:delete val="0"/>
        <c:axPos val="l"/>
        <c:numFmt formatCode="_(* #,##0_);_(* \(#,##0\);_(* \-_);_(@_)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ko-KR"/>
          </a:p>
        </c:txPr>
        <c:crossAx val="746801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layout>
        <c:manualLayout>
          <c:xMode val="edge"/>
          <c:yMode val="edge"/>
          <c:x val="0.105614440337274"/>
          <c:y val="3.1936122725238901E-2"/>
          <c:w val="0.89438555966272604"/>
          <c:h val="0.234341816073149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ko-KR"/>
        </a:p>
      </c:txPr>
    </c:legend>
    <c:plotVisOnly val="0"/>
    <c:dispBlanksAs val="gap"/>
    <c:showDLblsOverMax val="1"/>
  </c:chart>
  <c:spPr>
    <a:solidFill>
      <a:srgbClr val="FFFFFF"/>
    </a:solidFill>
    <a:ln w="25560">
      <a:solidFill>
        <a:srgbClr val="5B9BD5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55800</xdr:colOff>
      <xdr:row>9</xdr:row>
      <xdr:rowOff>39960</xdr:rowOff>
    </xdr:from>
    <xdr:to>
      <xdr:col>13</xdr:col>
      <xdr:colOff>1041480</xdr:colOff>
      <xdr:row>20</xdr:row>
      <xdr:rowOff>157320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28080</xdr:colOff>
      <xdr:row>5</xdr:row>
      <xdr:rowOff>77400</xdr:rowOff>
    </xdr:from>
    <xdr:to>
      <xdr:col>18</xdr:col>
      <xdr:colOff>456840</xdr:colOff>
      <xdr:row>15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55800</xdr:colOff>
      <xdr:row>26</xdr:row>
      <xdr:rowOff>39960</xdr:rowOff>
    </xdr:from>
    <xdr:to>
      <xdr:col>13</xdr:col>
      <xdr:colOff>1041480</xdr:colOff>
      <xdr:row>37</xdr:row>
      <xdr:rowOff>157320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35280</xdr:colOff>
      <xdr:row>22</xdr:row>
      <xdr:rowOff>32040</xdr:rowOff>
    </xdr:from>
    <xdr:to>
      <xdr:col>18</xdr:col>
      <xdr:colOff>464040</xdr:colOff>
      <xdr:row>32</xdr:row>
      <xdr:rowOff>143640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55800</xdr:colOff>
      <xdr:row>43</xdr:row>
      <xdr:rowOff>39960</xdr:rowOff>
    </xdr:from>
    <xdr:to>
      <xdr:col>13</xdr:col>
      <xdr:colOff>1041480</xdr:colOff>
      <xdr:row>54</xdr:row>
      <xdr:rowOff>157320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55080</xdr:colOff>
      <xdr:row>11</xdr:row>
      <xdr:rowOff>176760</xdr:rowOff>
    </xdr:from>
    <xdr:to>
      <xdr:col>23</xdr:col>
      <xdr:colOff>706320</xdr:colOff>
      <xdr:row>20</xdr:row>
      <xdr:rowOff>193680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27720</xdr:colOff>
      <xdr:row>29</xdr:row>
      <xdr:rowOff>13680</xdr:rowOff>
    </xdr:from>
    <xdr:to>
      <xdr:col>23</xdr:col>
      <xdr:colOff>756360</xdr:colOff>
      <xdr:row>37</xdr:row>
      <xdr:rowOff>172800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19</xdr:col>
      <xdr:colOff>55080</xdr:colOff>
      <xdr:row>45</xdr:row>
      <xdr:rowOff>176760</xdr:rowOff>
    </xdr:from>
    <xdr:to>
      <xdr:col>23</xdr:col>
      <xdr:colOff>787680</xdr:colOff>
      <xdr:row>54</xdr:row>
      <xdr:rowOff>116280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19</xdr:col>
      <xdr:colOff>36720</xdr:colOff>
      <xdr:row>22</xdr:row>
      <xdr:rowOff>58320</xdr:rowOff>
    </xdr:from>
    <xdr:to>
      <xdr:col>23</xdr:col>
      <xdr:colOff>714960</xdr:colOff>
      <xdr:row>28</xdr:row>
      <xdr:rowOff>156960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19</xdr:col>
      <xdr:colOff>36720</xdr:colOff>
      <xdr:row>5</xdr:row>
      <xdr:rowOff>30960</xdr:rowOff>
    </xdr:from>
    <xdr:to>
      <xdr:col>23</xdr:col>
      <xdr:colOff>719640</xdr:colOff>
      <xdr:row>11</xdr:row>
      <xdr:rowOff>129600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19</xdr:col>
      <xdr:colOff>36720</xdr:colOff>
      <xdr:row>39</xdr:row>
      <xdr:rowOff>17640</xdr:rowOff>
    </xdr:from>
    <xdr:to>
      <xdr:col>23</xdr:col>
      <xdr:colOff>719640</xdr:colOff>
      <xdr:row>45</xdr:row>
      <xdr:rowOff>116280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14</xdr:col>
      <xdr:colOff>46440</xdr:colOff>
      <xdr:row>39</xdr:row>
      <xdr:rowOff>23040</xdr:rowOff>
    </xdr:from>
    <xdr:to>
      <xdr:col>18</xdr:col>
      <xdr:colOff>475200</xdr:colOff>
      <xdr:row>49</xdr:row>
      <xdr:rowOff>134640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2:AF98"/>
  <sheetViews>
    <sheetView tabSelected="1" zoomScale="55" zoomScaleNormal="5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12" sqref="G12"/>
    </sheetView>
  </sheetViews>
  <sheetFormatPr baseColWidth="10" defaultColWidth="9" defaultRowHeight="16.5" customHeight="1"/>
  <cols>
    <col min="1" max="1" width="1.5" style="3" customWidth="1"/>
    <col min="2" max="2" width="10.6640625" style="4" customWidth="1"/>
    <col min="3" max="3" width="19.5" style="4" customWidth="1"/>
    <col min="4" max="4" width="17.6640625" style="3" customWidth="1"/>
    <col min="5" max="5" width="12.83203125" style="3" customWidth="1"/>
    <col min="6" max="9" width="13" style="3" customWidth="1"/>
    <col min="10" max="10" width="10.5" style="5" hidden="1" customWidth="1"/>
    <col min="11" max="14" width="14.6640625" style="3" customWidth="1"/>
    <col min="15" max="19" width="12.1640625" style="3" customWidth="1"/>
    <col min="20" max="23" width="11" style="3" customWidth="1"/>
    <col min="24" max="24" width="12" style="3" customWidth="1"/>
    <col min="25" max="25" width="67.1640625" style="4" customWidth="1"/>
    <col min="26" max="26" width="60" style="3" customWidth="1"/>
    <col min="27" max="27" width="5.33203125" style="3" hidden="1" customWidth="1"/>
    <col min="28" max="29" width="9" style="3"/>
    <col min="30" max="31" width="12.5" style="6" customWidth="1"/>
    <col min="32" max="32" width="10.6640625" style="7" customWidth="1"/>
    <col min="33" max="16384" width="9" style="3"/>
  </cols>
  <sheetData>
    <row r="2" spans="2:27" ht="33" customHeight="1">
      <c r="B2" s="8" t="s">
        <v>0</v>
      </c>
      <c r="C2" s="9"/>
      <c r="D2" s="10"/>
      <c r="E2" s="8"/>
      <c r="F2" s="10"/>
      <c r="G2" s="10"/>
      <c r="H2" s="10"/>
      <c r="I2" s="10"/>
      <c r="J2" s="11"/>
      <c r="K2" s="10"/>
      <c r="L2" s="10"/>
      <c r="M2" s="10"/>
      <c r="N2" s="12"/>
    </row>
    <row r="3" spans="2:27" ht="21" customHeight="1">
      <c r="B3" s="13" t="s">
        <v>71</v>
      </c>
      <c r="C3" s="14"/>
      <c r="D3" s="15"/>
    </row>
    <row r="4" spans="2:27" ht="34.5" customHeight="1">
      <c r="B4" s="157" t="s">
        <v>1</v>
      </c>
      <c r="C4" s="157"/>
      <c r="D4" s="152" t="s">
        <v>70</v>
      </c>
      <c r="E4" s="153">
        <v>2021</v>
      </c>
      <c r="F4" s="153">
        <v>2022</v>
      </c>
      <c r="G4" s="153">
        <v>2023</v>
      </c>
      <c r="H4" s="153">
        <v>2024</v>
      </c>
      <c r="I4" s="153">
        <v>2025</v>
      </c>
      <c r="J4" s="154" t="s">
        <v>2</v>
      </c>
      <c r="K4" s="158" t="s">
        <v>3</v>
      </c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60"/>
      <c r="Y4" s="16" t="s">
        <v>4</v>
      </c>
      <c r="Z4" s="17" t="s">
        <v>5</v>
      </c>
      <c r="AA4" s="18" t="s">
        <v>6</v>
      </c>
    </row>
    <row r="5" spans="2:27" ht="18" customHeight="1">
      <c r="B5" s="19" t="s">
        <v>7</v>
      </c>
      <c r="C5" s="20">
        <v>1</v>
      </c>
      <c r="D5" s="21" t="s">
        <v>8</v>
      </c>
      <c r="E5" s="22">
        <f>'1'!B6</f>
        <v>17851906</v>
      </c>
      <c r="F5" s="23">
        <f>'1'!C6</f>
        <v>25598609</v>
      </c>
      <c r="G5" s="23">
        <f>'1'!D6</f>
        <v>33745470</v>
      </c>
      <c r="H5" s="23">
        <f>'1'!E6</f>
        <v>25619585</v>
      </c>
      <c r="I5" s="23">
        <f>'1'!F6</f>
        <v>23671759</v>
      </c>
      <c r="J5" s="24">
        <f t="shared" ref="J5:J16" si="0">IFERROR(RATE(4,,-E5,I5),"")</f>
        <v>7.3090832868131381E-2</v>
      </c>
      <c r="K5" s="25" t="s">
        <v>9</v>
      </c>
      <c r="L5" s="26" t="s">
        <v>10</v>
      </c>
      <c r="M5" s="27" t="s">
        <v>11</v>
      </c>
      <c r="N5" s="26" t="s">
        <v>12</v>
      </c>
      <c r="O5" s="28" t="s">
        <v>13</v>
      </c>
      <c r="P5" s="29"/>
      <c r="Q5" s="29"/>
      <c r="R5" s="29"/>
      <c r="S5" s="30"/>
      <c r="T5" s="31" t="s">
        <v>14</v>
      </c>
      <c r="U5" s="29"/>
      <c r="V5" s="29"/>
      <c r="W5" s="29"/>
      <c r="X5" s="30"/>
      <c r="Y5" s="32"/>
      <c r="Z5" s="33"/>
      <c r="AA5" s="34"/>
    </row>
    <row r="6" spans="2:27" ht="18" customHeight="1">
      <c r="B6" s="35" t="s">
        <v>15</v>
      </c>
      <c r="C6" s="36" t="str">
        <f>'1'!B3</f>
        <v>LG에너지솔루션</v>
      </c>
      <c r="D6" s="37" t="s">
        <v>16</v>
      </c>
      <c r="E6" s="38">
        <f>'1'!B7</f>
        <v>768470</v>
      </c>
      <c r="F6" s="39">
        <f>'1'!C7</f>
        <v>1213719</v>
      </c>
      <c r="G6" s="39">
        <f>'1'!D7</f>
        <v>2163234</v>
      </c>
      <c r="H6" s="39">
        <f>'1'!E7</f>
        <v>575387</v>
      </c>
      <c r="I6" s="40">
        <f>'1'!F7</f>
        <v>1346120</v>
      </c>
      <c r="J6" s="41">
        <f t="shared" si="0"/>
        <v>0.15044063923247397</v>
      </c>
      <c r="K6" s="3" t="s">
        <v>12</v>
      </c>
      <c r="L6" s="42">
        <v>234000000</v>
      </c>
      <c r="M6" s="43">
        <v>488000</v>
      </c>
      <c r="N6" s="6">
        <f>L6*M6/1000000</f>
        <v>114192000</v>
      </c>
      <c r="O6" s="37"/>
      <c r="P6" s="44"/>
      <c r="Q6" s="44"/>
      <c r="R6" s="44"/>
      <c r="S6" s="45"/>
      <c r="T6" s="37"/>
      <c r="U6" s="44"/>
      <c r="V6" s="44"/>
      <c r="W6" s="44"/>
      <c r="X6" s="45"/>
      <c r="Y6" s="46"/>
      <c r="Z6" s="47"/>
      <c r="AA6" s="48"/>
    </row>
    <row r="7" spans="2:27" ht="18" customHeight="1">
      <c r="B7" s="35" t="s">
        <v>17</v>
      </c>
      <c r="C7" s="49" t="str">
        <f>'1'!D3</f>
        <v>코스피</v>
      </c>
      <c r="D7" s="50" t="s">
        <v>18</v>
      </c>
      <c r="E7" s="38">
        <f>'1'!B10</f>
        <v>2186278</v>
      </c>
      <c r="F7" s="39">
        <f>'1'!C10</f>
        <v>3056432</v>
      </c>
      <c r="G7" s="39">
        <f>'1'!D10</f>
        <v>4450113</v>
      </c>
      <c r="H7" s="39">
        <f>'1'!E10</f>
        <v>3621171</v>
      </c>
      <c r="I7" s="40">
        <f>'1'!F10</f>
        <v>5037370</v>
      </c>
      <c r="J7" s="41">
        <f t="shared" si="0"/>
        <v>0.23203945711220292</v>
      </c>
      <c r="K7" s="51" t="s">
        <v>19</v>
      </c>
      <c r="L7" s="52"/>
      <c r="M7" s="52"/>
      <c r="N7" s="53">
        <f>IFERROR(N6/I8,"-")</f>
        <v>1413.2148558840638</v>
      </c>
      <c r="O7" s="37"/>
      <c r="P7" s="44"/>
      <c r="Q7" s="44"/>
      <c r="R7" s="44"/>
      <c r="S7" s="45"/>
      <c r="T7" s="37"/>
      <c r="U7" s="44"/>
      <c r="V7" s="44"/>
      <c r="W7" s="44"/>
      <c r="X7" s="45"/>
      <c r="Y7" s="54"/>
      <c r="Z7" s="55"/>
      <c r="AA7" s="48"/>
    </row>
    <row r="8" spans="2:27" ht="18" customHeight="1">
      <c r="B8" s="35" t="s">
        <v>20</v>
      </c>
      <c r="C8" s="56">
        <f>N6</f>
        <v>114192000</v>
      </c>
      <c r="D8" s="57" t="s">
        <v>21</v>
      </c>
      <c r="E8" s="38">
        <f>'1'!B11</f>
        <v>929868</v>
      </c>
      <c r="F8" s="39">
        <f>'1'!C11</f>
        <v>779826</v>
      </c>
      <c r="G8" s="39">
        <f>'1'!D11</f>
        <v>1637985</v>
      </c>
      <c r="H8" s="39">
        <f>'1'!E11</f>
        <v>338602</v>
      </c>
      <c r="I8" s="40">
        <f>'1'!F11</f>
        <v>80803</v>
      </c>
      <c r="J8" s="41">
        <f t="shared" si="0"/>
        <v>-0.45706036614161966</v>
      </c>
      <c r="K8" s="3" t="s">
        <v>22</v>
      </c>
      <c r="N8" s="6">
        <f>IFERROR(N6+I17,"-")</f>
        <v>132924789</v>
      </c>
      <c r="O8" s="37"/>
      <c r="P8" s="44"/>
      <c r="Q8" s="44"/>
      <c r="R8" s="44"/>
      <c r="S8" s="45"/>
      <c r="T8" s="37"/>
      <c r="U8" s="44"/>
      <c r="V8" s="44"/>
      <c r="W8" s="44"/>
      <c r="X8" s="45"/>
      <c r="Y8" s="54"/>
      <c r="Z8" s="47"/>
      <c r="AA8" s="48"/>
    </row>
    <row r="9" spans="2:27" ht="18" customHeight="1">
      <c r="B9" s="57" t="s">
        <v>8</v>
      </c>
      <c r="C9" s="58">
        <f>I5</f>
        <v>23671759</v>
      </c>
      <c r="D9" s="59" t="s">
        <v>23</v>
      </c>
      <c r="E9" s="60">
        <f>IFERROR(E6/E5,"")</f>
        <v>4.3046944119020117E-2</v>
      </c>
      <c r="F9" s="61">
        <f>IFERROR(F6/F5,"")</f>
        <v>4.7413474693097583E-2</v>
      </c>
      <c r="G9" s="61">
        <f>IFERROR(G6/G5,"")</f>
        <v>6.4104426460796074E-2</v>
      </c>
      <c r="H9" s="61">
        <f>IFERROR(H6/H5,"")</f>
        <v>2.2458872772529299E-2</v>
      </c>
      <c r="I9" s="62">
        <f>IFERROR(I6/I5,"")</f>
        <v>5.6866074042068442E-2</v>
      </c>
      <c r="J9" s="41">
        <f t="shared" si="0"/>
        <v>7.2081322474589746E-2</v>
      </c>
      <c r="K9" s="51" t="s">
        <v>24</v>
      </c>
      <c r="L9" s="52"/>
      <c r="M9" s="52"/>
      <c r="N9" s="52">
        <f>IFERROR(N8/I7,"-")</f>
        <v>26.387735862166171</v>
      </c>
      <c r="O9" s="37"/>
      <c r="P9" s="44"/>
      <c r="Q9" s="44"/>
      <c r="R9" s="44"/>
      <c r="S9" s="45"/>
      <c r="T9" s="37"/>
      <c r="U9" s="44"/>
      <c r="V9" s="44"/>
      <c r="W9" s="44"/>
      <c r="X9" s="45"/>
      <c r="Y9" s="54"/>
      <c r="Z9" s="55"/>
      <c r="AA9" s="48"/>
    </row>
    <row r="10" spans="2:27" ht="18" customHeight="1">
      <c r="B10" s="50" t="s">
        <v>18</v>
      </c>
      <c r="C10" s="58">
        <f>I7</f>
        <v>5037370</v>
      </c>
      <c r="D10" s="59" t="s">
        <v>25</v>
      </c>
      <c r="E10" s="63">
        <f>IFERROR(E7/E5,"")</f>
        <v>0.12246748330402367</v>
      </c>
      <c r="F10" s="64">
        <f>IFERROR(F7/F5,"")</f>
        <v>0.11939836262196903</v>
      </c>
      <c r="G10" s="64">
        <f>IFERROR(G7/G5,"")</f>
        <v>0.13187290027372564</v>
      </c>
      <c r="H10" s="64">
        <f>IFERROR(H7/H5,"")</f>
        <v>0.14134385861441551</v>
      </c>
      <c r="I10" s="65">
        <f>IFERROR(I7/I5,"")</f>
        <v>0.21280083157318389</v>
      </c>
      <c r="J10" s="41">
        <f t="shared" si="0"/>
        <v>0.14812224592324305</v>
      </c>
      <c r="O10" s="37"/>
      <c r="P10" s="44"/>
      <c r="Q10" s="44"/>
      <c r="R10" s="44"/>
      <c r="S10" s="45"/>
      <c r="T10" s="37"/>
      <c r="U10" s="44"/>
      <c r="V10" s="44"/>
      <c r="W10" s="44"/>
      <c r="X10" s="45"/>
      <c r="Y10" s="54"/>
      <c r="Z10" s="47"/>
      <c r="AA10" s="48"/>
    </row>
    <row r="11" spans="2:27" ht="18" customHeight="1">
      <c r="B11" s="50" t="s">
        <v>19</v>
      </c>
      <c r="C11" s="66">
        <f>N7</f>
        <v>1413.2148558840638</v>
      </c>
      <c r="D11" s="67" t="s">
        <v>26</v>
      </c>
      <c r="E11" s="63">
        <f>IFERROR(E8/E5,"")</f>
        <v>5.2087883501067057E-2</v>
      </c>
      <c r="F11" s="64">
        <f>IFERROR(F8/F5,"")</f>
        <v>3.0463608393721704E-2</v>
      </c>
      <c r="G11" s="64">
        <f>IFERROR(G8/G5,"")</f>
        <v>4.8539403955553145E-2</v>
      </c>
      <c r="H11" s="64">
        <f>IFERROR(H8/H5,"")</f>
        <v>1.3216529463689595E-2</v>
      </c>
      <c r="I11" s="65">
        <f>IFERROR(I8/I5,"")</f>
        <v>3.4134767931694471E-3</v>
      </c>
      <c r="J11" s="41">
        <f t="shared" si="0"/>
        <v>-0.49404130831383186</v>
      </c>
      <c r="O11" s="37"/>
      <c r="S11" s="48"/>
      <c r="T11" s="37"/>
      <c r="X11" s="48"/>
      <c r="Y11" s="54"/>
      <c r="Z11" s="55"/>
      <c r="AA11" s="48"/>
    </row>
    <row r="12" spans="2:27" ht="18" customHeight="1">
      <c r="B12" s="50" t="s">
        <v>27</v>
      </c>
      <c r="C12" s="66">
        <f>N9</f>
        <v>26.387735862166171</v>
      </c>
      <c r="D12" s="68" t="s">
        <v>28</v>
      </c>
      <c r="E12" s="38">
        <f>'1'!B12</f>
        <v>23764137</v>
      </c>
      <c r="F12" s="39">
        <f>'1'!C12</f>
        <v>38299445</v>
      </c>
      <c r="G12" s="39">
        <f>'1'!D12</f>
        <v>45437144</v>
      </c>
      <c r="H12" s="39">
        <f>'1'!E12</f>
        <v>60306791</v>
      </c>
      <c r="I12" s="40">
        <f>'1'!F12</f>
        <v>67147953</v>
      </c>
      <c r="J12" s="41">
        <f t="shared" si="0"/>
        <v>0.29651540867888715</v>
      </c>
      <c r="O12" s="37"/>
      <c r="S12" s="48"/>
      <c r="T12" s="37"/>
      <c r="X12" s="48"/>
      <c r="Y12" s="54"/>
      <c r="Z12" s="47"/>
      <c r="AA12" s="48"/>
    </row>
    <row r="13" spans="2:27" ht="18" customHeight="1">
      <c r="B13" s="69"/>
      <c r="C13" s="70"/>
      <c r="D13" s="71" t="s">
        <v>29</v>
      </c>
      <c r="E13" s="38">
        <f>'1'!B13</f>
        <v>15021764</v>
      </c>
      <c r="F13" s="39">
        <f>'1'!C13</f>
        <v>17705683</v>
      </c>
      <c r="G13" s="39">
        <f>'1'!D13</f>
        <v>21063635</v>
      </c>
      <c r="H13" s="39">
        <f>'1'!E13</f>
        <v>29340248</v>
      </c>
      <c r="I13" s="39">
        <f>'1'!F13</f>
        <v>37826277</v>
      </c>
      <c r="J13" s="41">
        <f t="shared" si="0"/>
        <v>0.25970300674733932</v>
      </c>
      <c r="K13" s="37"/>
      <c r="N13" s="48"/>
      <c r="O13" s="37"/>
      <c r="S13" s="48"/>
      <c r="T13" s="37"/>
      <c r="X13" s="48"/>
      <c r="Y13" s="54"/>
      <c r="Z13" s="47"/>
      <c r="AA13" s="48"/>
    </row>
    <row r="14" spans="2:27" ht="18" customHeight="1">
      <c r="B14" s="69"/>
      <c r="C14" s="70"/>
      <c r="D14" s="71" t="s">
        <v>30</v>
      </c>
      <c r="E14" s="38">
        <f>'1'!B14</f>
        <v>8742373</v>
      </c>
      <c r="F14" s="39">
        <f>'1'!C14</f>
        <v>20593762</v>
      </c>
      <c r="G14" s="39">
        <f>'1'!D14</f>
        <v>24373509</v>
      </c>
      <c r="H14" s="39">
        <f>'1'!E14</f>
        <v>30966543</v>
      </c>
      <c r="I14" s="39">
        <f>'1'!F14</f>
        <v>29321676</v>
      </c>
      <c r="J14" s="41">
        <f t="shared" si="0"/>
        <v>0.3532868589176707</v>
      </c>
      <c r="K14" s="37"/>
      <c r="L14" s="4"/>
      <c r="M14" s="72"/>
      <c r="N14" s="73"/>
      <c r="O14" s="37"/>
      <c r="S14" s="48"/>
      <c r="T14" s="37"/>
      <c r="X14" s="48"/>
      <c r="Y14" s="74"/>
      <c r="Z14" s="75"/>
      <c r="AA14" s="48"/>
    </row>
    <row r="15" spans="2:27" ht="18" customHeight="1">
      <c r="B15" s="69"/>
      <c r="C15" s="70"/>
      <c r="D15" s="76" t="s">
        <v>31</v>
      </c>
      <c r="E15" s="38">
        <f>'1'!B17</f>
        <v>6969193</v>
      </c>
      <c r="F15" s="39">
        <f>'1'!C17</f>
        <v>8109253</v>
      </c>
      <c r="G15" s="39">
        <f>'1'!D17</f>
        <v>10932288</v>
      </c>
      <c r="H15" s="39">
        <f>'1'!E17</f>
        <v>15390551</v>
      </c>
      <c r="I15" s="39">
        <f>'1'!F17</f>
        <v>22512096</v>
      </c>
      <c r="J15" s="41">
        <f t="shared" si="0"/>
        <v>0.3406282295935199</v>
      </c>
      <c r="K15" s="77"/>
      <c r="L15" s="78"/>
      <c r="M15" s="79"/>
      <c r="N15" s="80"/>
      <c r="O15" s="37"/>
      <c r="S15" s="48"/>
      <c r="T15" s="37"/>
      <c r="X15" s="48"/>
      <c r="Y15" s="46"/>
      <c r="Z15" s="47"/>
      <c r="AA15" s="48"/>
    </row>
    <row r="16" spans="2:27" ht="18" customHeight="1">
      <c r="B16" s="69"/>
      <c r="C16" s="70"/>
      <c r="D16" s="76" t="s">
        <v>32</v>
      </c>
      <c r="E16" s="38">
        <f>'1'!B18</f>
        <v>1282880</v>
      </c>
      <c r="F16" s="39">
        <f>'1'!C18</f>
        <v>5937967</v>
      </c>
      <c r="G16" s="39">
        <f>'1'!D18</f>
        <v>5068783</v>
      </c>
      <c r="H16" s="39">
        <f>'1'!E18</f>
        <v>3898711</v>
      </c>
      <c r="I16" s="39">
        <f>'1'!F18</f>
        <v>3779307</v>
      </c>
      <c r="J16" s="41">
        <f t="shared" si="0"/>
        <v>0.31010629776691001</v>
      </c>
      <c r="K16" s="37"/>
      <c r="L16" s="81"/>
      <c r="M16" s="82"/>
      <c r="N16" s="83"/>
      <c r="O16" s="37"/>
      <c r="S16" s="48"/>
      <c r="T16" s="37"/>
      <c r="X16" s="48"/>
      <c r="Y16" s="46"/>
      <c r="Z16" s="55"/>
      <c r="AA16" s="48"/>
    </row>
    <row r="17" spans="2:27" ht="18" customHeight="1">
      <c r="B17" s="69"/>
      <c r="C17" s="70"/>
      <c r="D17" s="76" t="s">
        <v>33</v>
      </c>
      <c r="E17" s="84">
        <f>E15-E16</f>
        <v>5686313</v>
      </c>
      <c r="F17" s="85">
        <f>F15-F16</f>
        <v>2171286</v>
      </c>
      <c r="G17" s="85">
        <f>G15-G16</f>
        <v>5863505</v>
      </c>
      <c r="H17" s="85">
        <f>H15-H16</f>
        <v>11491840</v>
      </c>
      <c r="I17" s="86">
        <f>I15-I16</f>
        <v>18732789</v>
      </c>
      <c r="J17" s="41"/>
      <c r="K17" s="37"/>
      <c r="L17" s="81"/>
      <c r="M17" s="82"/>
      <c r="N17" s="83"/>
      <c r="O17" s="165" t="s">
        <v>74</v>
      </c>
      <c r="S17" s="48"/>
      <c r="T17" s="37"/>
      <c r="X17" s="48"/>
      <c r="Y17" s="54"/>
      <c r="Z17" s="47"/>
      <c r="AA17" s="48"/>
    </row>
    <row r="18" spans="2:27" ht="18" customHeight="1">
      <c r="B18" s="69"/>
      <c r="C18" s="70"/>
      <c r="D18" s="76" t="s">
        <v>34</v>
      </c>
      <c r="E18" s="88">
        <f>IFERROR(E13/E14,"")</f>
        <v>1.718270771562824</v>
      </c>
      <c r="F18" s="89">
        <f>IFERROR(F13/F14,"")</f>
        <v>0.85975952329642347</v>
      </c>
      <c r="G18" s="89">
        <f>IFERROR(G13/G14,"")</f>
        <v>0.86420199077613324</v>
      </c>
      <c r="H18" s="89">
        <f>IFERROR(H13/H14,"")</f>
        <v>0.94748219069852258</v>
      </c>
      <c r="I18" s="90">
        <f>IFERROR(I13/I14,"")</f>
        <v>1.2900448460040279</v>
      </c>
      <c r="J18" s="41"/>
      <c r="K18" s="37"/>
      <c r="L18" s="81"/>
      <c r="M18" s="82"/>
      <c r="N18" s="83"/>
      <c r="O18" s="165" t="s">
        <v>75</v>
      </c>
      <c r="S18" s="48"/>
      <c r="T18" s="37"/>
      <c r="X18" s="48"/>
      <c r="Y18" s="54"/>
      <c r="Z18" s="47"/>
      <c r="AA18" s="48"/>
    </row>
    <row r="19" spans="2:27" ht="18" customHeight="1">
      <c r="B19" s="69"/>
      <c r="C19" s="70"/>
      <c r="D19" s="76" t="s">
        <v>35</v>
      </c>
      <c r="E19" s="84">
        <f>'1'!B20</f>
        <v>978585</v>
      </c>
      <c r="F19" s="85">
        <f>'1'!C20</f>
        <v>-579807</v>
      </c>
      <c r="G19" s="85">
        <f>'1'!D20</f>
        <v>4444179</v>
      </c>
      <c r="H19" s="85">
        <f>'1'!E20</f>
        <v>5111700</v>
      </c>
      <c r="I19" s="86">
        <f>'1'!F20</f>
        <v>4432277</v>
      </c>
      <c r="J19" s="41"/>
      <c r="K19" s="37"/>
      <c r="L19" s="81"/>
      <c r="M19" s="82"/>
      <c r="N19" s="83"/>
      <c r="O19" s="165" t="s">
        <v>76</v>
      </c>
      <c r="S19" s="48"/>
      <c r="T19" s="37"/>
      <c r="X19" s="48"/>
      <c r="Y19" s="54"/>
      <c r="Z19" s="55"/>
      <c r="AA19" s="48"/>
    </row>
    <row r="20" spans="2:27" ht="18" customHeight="1">
      <c r="B20" s="69"/>
      <c r="C20" s="70"/>
      <c r="D20" s="76" t="s">
        <v>36</v>
      </c>
      <c r="E20" s="84">
        <f>'1'!B21</f>
        <v>-2178121</v>
      </c>
      <c r="F20" s="85">
        <f>'1'!C21</f>
        <v>-6259356</v>
      </c>
      <c r="G20" s="85">
        <f>'1'!D21</f>
        <v>-9719327</v>
      </c>
      <c r="H20" s="85">
        <f>'1'!E21</f>
        <v>-12065447</v>
      </c>
      <c r="I20" s="86">
        <f>'1'!F21</f>
        <v>-10881277</v>
      </c>
      <c r="J20" s="41"/>
      <c r="K20" s="37"/>
      <c r="L20" s="81"/>
      <c r="M20" s="82"/>
      <c r="N20" s="83"/>
      <c r="O20" s="165" t="s">
        <v>77</v>
      </c>
      <c r="S20" s="48"/>
      <c r="T20" s="37"/>
      <c r="X20" s="48"/>
      <c r="Y20" s="54"/>
      <c r="Z20" s="55"/>
      <c r="AA20" s="48"/>
    </row>
    <row r="21" spans="2:27" ht="18" customHeight="1">
      <c r="B21" s="69"/>
      <c r="C21" s="70"/>
      <c r="D21" s="76" t="s">
        <v>37</v>
      </c>
      <c r="E21" s="91">
        <f>'1'!B22</f>
        <v>882835</v>
      </c>
      <c r="F21" s="92">
        <f>'1'!C22</f>
        <v>11414617</v>
      </c>
      <c r="G21" s="92">
        <f>'1'!D22</f>
        <v>4354690</v>
      </c>
      <c r="H21" s="92">
        <f>'1'!E22</f>
        <v>5381505</v>
      </c>
      <c r="I21" s="93">
        <f>'1'!F22</f>
        <v>6285926</v>
      </c>
      <c r="J21" s="41"/>
      <c r="K21" s="94"/>
      <c r="L21" s="95"/>
      <c r="M21" s="96"/>
      <c r="N21" s="97"/>
      <c r="O21" s="166" t="s">
        <v>78</v>
      </c>
      <c r="S21" s="48"/>
      <c r="T21" s="37"/>
      <c r="X21" s="48"/>
      <c r="Y21" s="54"/>
      <c r="Z21" s="47"/>
      <c r="AA21" s="48"/>
    </row>
    <row r="22" spans="2:27" ht="18" customHeight="1">
      <c r="B22" s="19" t="s">
        <v>7</v>
      </c>
      <c r="C22" s="20">
        <v>2</v>
      </c>
      <c r="D22" s="21" t="s">
        <v>8</v>
      </c>
      <c r="E22" s="22">
        <f>'2'!B6</f>
        <v>0</v>
      </c>
      <c r="F22" s="23">
        <f>'2'!C6</f>
        <v>0</v>
      </c>
      <c r="G22" s="23">
        <f>'2'!D6</f>
        <v>0</v>
      </c>
      <c r="H22" s="23">
        <f>'2'!E6</f>
        <v>0</v>
      </c>
      <c r="I22" s="99">
        <f>'2'!F6</f>
        <v>0</v>
      </c>
      <c r="J22" s="100" t="str">
        <f>IFERROR(RATE(4,,-E22,I22),"")</f>
        <v/>
      </c>
      <c r="K22" s="101" t="s">
        <v>9</v>
      </c>
      <c r="L22" s="26" t="s">
        <v>10</v>
      </c>
      <c r="M22" s="27" t="s">
        <v>11</v>
      </c>
      <c r="N22" s="26" t="s">
        <v>12</v>
      </c>
      <c r="O22" s="28" t="s">
        <v>13</v>
      </c>
      <c r="P22" s="29"/>
      <c r="Q22" s="29"/>
      <c r="R22" s="29"/>
      <c r="S22" s="30"/>
      <c r="T22" s="102" t="s">
        <v>32</v>
      </c>
      <c r="U22" s="29"/>
      <c r="V22" s="29"/>
      <c r="W22" s="29"/>
      <c r="X22" s="30"/>
      <c r="Y22" s="103"/>
      <c r="Z22" s="104"/>
      <c r="AA22" s="34"/>
    </row>
    <row r="23" spans="2:27" ht="18" customHeight="1">
      <c r="B23" s="35" t="s">
        <v>15</v>
      </c>
      <c r="C23" s="36">
        <f>'2'!B3</f>
        <v>0</v>
      </c>
      <c r="D23" s="37" t="s">
        <v>16</v>
      </c>
      <c r="E23" s="38">
        <f>'2'!B7</f>
        <v>0</v>
      </c>
      <c r="F23" s="39">
        <f>'2'!C7</f>
        <v>0</v>
      </c>
      <c r="G23" s="39">
        <f>'2'!D7</f>
        <v>0</v>
      </c>
      <c r="H23" s="39">
        <f>'2'!E7</f>
        <v>0</v>
      </c>
      <c r="I23" s="40">
        <f>'2'!F7</f>
        <v>0</v>
      </c>
      <c r="J23" s="41" t="str">
        <f t="shared" ref="J23:J28" si="1">IFERROR(RATE(4,,-E23,I23),"-")</f>
        <v>-</v>
      </c>
      <c r="K23" s="3" t="s">
        <v>12</v>
      </c>
      <c r="L23" s="105"/>
      <c r="M23" s="106"/>
      <c r="N23" s="6">
        <f>L23*M23/1000000</f>
        <v>0</v>
      </c>
      <c r="O23" s="37"/>
      <c r="P23" s="44"/>
      <c r="Q23" s="44"/>
      <c r="R23" s="44"/>
      <c r="S23" s="45"/>
      <c r="T23" s="37"/>
      <c r="V23" s="44"/>
      <c r="W23" s="44"/>
      <c r="X23" s="45"/>
      <c r="Y23" s="107"/>
      <c r="Z23" s="108"/>
      <c r="AA23" s="48"/>
    </row>
    <row r="24" spans="2:27" ht="18" customHeight="1">
      <c r="B24" s="35" t="s">
        <v>17</v>
      </c>
      <c r="C24" s="49">
        <f>'2'!D3</f>
        <v>0</v>
      </c>
      <c r="D24" s="50" t="s">
        <v>18</v>
      </c>
      <c r="E24" s="38">
        <f>'2'!B10</f>
        <v>0</v>
      </c>
      <c r="F24" s="39">
        <f>'2'!C10</f>
        <v>0</v>
      </c>
      <c r="G24" s="39">
        <f>'2'!D10</f>
        <v>0</v>
      </c>
      <c r="H24" s="39">
        <f>'2'!E10</f>
        <v>0</v>
      </c>
      <c r="I24" s="40">
        <f>'2'!F10</f>
        <v>0</v>
      </c>
      <c r="J24" s="41" t="str">
        <f t="shared" si="1"/>
        <v>-</v>
      </c>
      <c r="K24" s="51" t="s">
        <v>19</v>
      </c>
      <c r="L24" s="52"/>
      <c r="M24" s="52"/>
      <c r="N24" s="53" t="str">
        <f>IFERROR(N23/I25,"-")</f>
        <v>-</v>
      </c>
      <c r="O24" s="37"/>
      <c r="P24" s="44"/>
      <c r="Q24" s="44"/>
      <c r="R24" s="44"/>
      <c r="S24" s="45"/>
      <c r="T24" s="37"/>
      <c r="U24" s="44"/>
      <c r="V24" s="44"/>
      <c r="W24" s="44"/>
      <c r="X24" s="45"/>
      <c r="Y24" s="107"/>
      <c r="Z24" s="109"/>
      <c r="AA24" s="48"/>
    </row>
    <row r="25" spans="2:27" ht="18" customHeight="1">
      <c r="B25" s="35" t="s">
        <v>20</v>
      </c>
      <c r="C25" s="56">
        <f>N23</f>
        <v>0</v>
      </c>
      <c r="D25" s="57" t="s">
        <v>21</v>
      </c>
      <c r="E25" s="38">
        <f>'2'!B11</f>
        <v>0</v>
      </c>
      <c r="F25" s="39">
        <f>'2'!C11</f>
        <v>0</v>
      </c>
      <c r="G25" s="39">
        <f>'2'!D11</f>
        <v>0</v>
      </c>
      <c r="H25" s="39">
        <f>'2'!E11</f>
        <v>0</v>
      </c>
      <c r="I25" s="40">
        <f>'2'!F11</f>
        <v>0</v>
      </c>
      <c r="J25" s="41" t="str">
        <f t="shared" si="1"/>
        <v>-</v>
      </c>
      <c r="K25" s="3" t="s">
        <v>22</v>
      </c>
      <c r="N25" s="6">
        <f>IFERROR(N23+I34,"-")</f>
        <v>0</v>
      </c>
      <c r="O25" s="37"/>
      <c r="P25" s="44"/>
      <c r="Q25" s="44"/>
      <c r="R25" s="44"/>
      <c r="S25" s="45"/>
      <c r="T25" s="37"/>
      <c r="U25" s="44"/>
      <c r="V25" s="44"/>
      <c r="W25" s="44"/>
      <c r="X25" s="45"/>
      <c r="Y25" s="107"/>
      <c r="Z25" s="108"/>
      <c r="AA25" s="48"/>
    </row>
    <row r="26" spans="2:27" ht="18" customHeight="1">
      <c r="B26" s="57" t="s">
        <v>8</v>
      </c>
      <c r="C26" s="58">
        <f>I22</f>
        <v>0</v>
      </c>
      <c r="D26" s="59" t="s">
        <v>23</v>
      </c>
      <c r="E26" s="63" t="str">
        <f>IFERROR(E23/E22,"")</f>
        <v/>
      </c>
      <c r="F26" s="64" t="str">
        <f>IFERROR(F23/F22,"")</f>
        <v/>
      </c>
      <c r="G26" s="64" t="str">
        <f>IFERROR(G23/G22,"")</f>
        <v/>
      </c>
      <c r="H26" s="64" t="str">
        <f>IFERROR(H23/H22,"")</f>
        <v/>
      </c>
      <c r="I26" s="65" t="str">
        <f>IFERROR(I23/I22,"")</f>
        <v/>
      </c>
      <c r="J26" s="41" t="str">
        <f t="shared" si="1"/>
        <v>-</v>
      </c>
      <c r="K26" s="51" t="s">
        <v>24</v>
      </c>
      <c r="L26" s="52"/>
      <c r="M26" s="52"/>
      <c r="N26" s="52" t="str">
        <f>IFERROR(N25/I24,"-")</f>
        <v>-</v>
      </c>
      <c r="O26" s="37"/>
      <c r="P26" s="44"/>
      <c r="Q26" s="44"/>
      <c r="R26" s="44"/>
      <c r="S26" s="45"/>
      <c r="T26" s="37"/>
      <c r="U26" s="44"/>
      <c r="V26" s="44"/>
      <c r="W26" s="44"/>
      <c r="X26" s="45"/>
      <c r="Y26" s="107"/>
      <c r="Z26" s="108"/>
      <c r="AA26" s="48"/>
    </row>
    <row r="27" spans="2:27" ht="18" customHeight="1">
      <c r="B27" s="50" t="s">
        <v>18</v>
      </c>
      <c r="C27" s="58">
        <f>I24</f>
        <v>0</v>
      </c>
      <c r="D27" s="59" t="s">
        <v>25</v>
      </c>
      <c r="E27" s="63" t="str">
        <f>IFERROR(E24/E22,"")</f>
        <v/>
      </c>
      <c r="F27" s="64" t="str">
        <f>IFERROR(F24/F22,"")</f>
        <v/>
      </c>
      <c r="G27" s="64" t="str">
        <f>IFERROR(G24/G22,"")</f>
        <v/>
      </c>
      <c r="H27" s="64" t="str">
        <f>IFERROR(H24/H22,"")</f>
        <v/>
      </c>
      <c r="I27" s="65" t="str">
        <f>IFERROR(I24/I22,"")</f>
        <v/>
      </c>
      <c r="J27" s="41" t="str">
        <f t="shared" si="1"/>
        <v>-</v>
      </c>
      <c r="O27" s="37"/>
      <c r="P27" s="44"/>
      <c r="Q27" s="44"/>
      <c r="R27" s="44"/>
      <c r="S27" s="45"/>
      <c r="T27" s="37"/>
      <c r="U27" s="44"/>
      <c r="V27" s="44"/>
      <c r="W27" s="44"/>
      <c r="X27" s="45"/>
      <c r="Y27" s="107"/>
      <c r="Z27" s="108"/>
      <c r="AA27" s="48"/>
    </row>
    <row r="28" spans="2:27" ht="18" customHeight="1">
      <c r="B28" s="50" t="s">
        <v>19</v>
      </c>
      <c r="C28" s="66" t="str">
        <f>N24</f>
        <v>-</v>
      </c>
      <c r="D28" s="67" t="s">
        <v>26</v>
      </c>
      <c r="E28" s="63" t="str">
        <f>IFERROR(E25/E22,"")</f>
        <v/>
      </c>
      <c r="F28" s="64" t="str">
        <f>IFERROR(F25/F22,"")</f>
        <v/>
      </c>
      <c r="G28" s="64" t="str">
        <f>IFERROR(G25/G22,"")</f>
        <v/>
      </c>
      <c r="H28" s="64" t="str">
        <f>IFERROR(H25/H22,"")</f>
        <v/>
      </c>
      <c r="I28" s="65" t="str">
        <f>IFERROR(I25/I22,"")</f>
        <v/>
      </c>
      <c r="J28" s="41" t="str">
        <f t="shared" si="1"/>
        <v>-</v>
      </c>
      <c r="O28" s="37"/>
      <c r="S28" s="48"/>
      <c r="T28" s="37"/>
      <c r="X28" s="48"/>
      <c r="Y28" s="107"/>
      <c r="Z28" s="108"/>
      <c r="AA28" s="48"/>
    </row>
    <row r="29" spans="2:27" ht="18" customHeight="1">
      <c r="B29" s="50" t="s">
        <v>27</v>
      </c>
      <c r="C29" s="66" t="str">
        <f>N26</f>
        <v>-</v>
      </c>
      <c r="D29" s="68" t="s">
        <v>28</v>
      </c>
      <c r="E29" s="84">
        <f>'2'!B12</f>
        <v>0</v>
      </c>
      <c r="F29" s="85">
        <f>'2'!C12</f>
        <v>0</v>
      </c>
      <c r="G29" s="85">
        <f>'2'!D12</f>
        <v>0</v>
      </c>
      <c r="H29" s="85">
        <f>'2'!E12</f>
        <v>0</v>
      </c>
      <c r="I29" s="86">
        <f>'2'!F12</f>
        <v>0</v>
      </c>
      <c r="J29" s="41" t="str">
        <f>IFERROR(RATE(4,,-E29,I29),"")</f>
        <v/>
      </c>
      <c r="O29" s="37"/>
      <c r="S29" s="48"/>
      <c r="T29" s="37"/>
      <c r="X29" s="48"/>
      <c r="Y29" s="107"/>
      <c r="Z29" s="108"/>
      <c r="AA29" s="48"/>
    </row>
    <row r="30" spans="2:27" ht="18" customHeight="1">
      <c r="B30" s="69"/>
      <c r="C30" s="70"/>
      <c r="D30" s="71" t="s">
        <v>29</v>
      </c>
      <c r="E30" s="84">
        <f>'2'!B13</f>
        <v>0</v>
      </c>
      <c r="F30" s="85">
        <f>'2'!C13</f>
        <v>0</v>
      </c>
      <c r="G30" s="85">
        <f>'2'!D13</f>
        <v>0</v>
      </c>
      <c r="H30" s="85">
        <f>'2'!E13</f>
        <v>0</v>
      </c>
      <c r="I30" s="86">
        <f>'2'!F13</f>
        <v>0</v>
      </c>
      <c r="J30" s="41" t="str">
        <f>IFERROR(RATE(4,,-E30,I30),"")</f>
        <v/>
      </c>
      <c r="K30" s="37"/>
      <c r="N30" s="48"/>
      <c r="O30" s="37"/>
      <c r="S30" s="48"/>
      <c r="T30" s="37"/>
      <c r="X30" s="48"/>
      <c r="Y30" s="107"/>
      <c r="Z30" s="110"/>
      <c r="AA30" s="48"/>
    </row>
    <row r="31" spans="2:27" ht="18" customHeight="1">
      <c r="B31" s="69"/>
      <c r="C31" s="70"/>
      <c r="D31" s="71" t="s">
        <v>30</v>
      </c>
      <c r="E31" s="84">
        <f>'2'!B14</f>
        <v>0</v>
      </c>
      <c r="F31" s="85">
        <f>'2'!C14</f>
        <v>0</v>
      </c>
      <c r="G31" s="85">
        <f>'2'!D14</f>
        <v>0</v>
      </c>
      <c r="H31" s="85">
        <f>'2'!E14</f>
        <v>0</v>
      </c>
      <c r="I31" s="86">
        <f>'2'!F14</f>
        <v>0</v>
      </c>
      <c r="J31" s="41" t="str">
        <f>IFERROR(RATE(4,,-E31,I31),"")</f>
        <v/>
      </c>
      <c r="K31" s="37"/>
      <c r="L31" s="4"/>
      <c r="M31" s="72"/>
      <c r="N31" s="73"/>
      <c r="O31" s="37"/>
      <c r="S31" s="48"/>
      <c r="T31" s="37"/>
      <c r="X31" s="48"/>
      <c r="Y31" s="111"/>
      <c r="Z31" s="108"/>
      <c r="AA31" s="48"/>
    </row>
    <row r="32" spans="2:27" ht="18" customHeight="1">
      <c r="B32" s="69"/>
      <c r="C32" s="70"/>
      <c r="D32" s="76" t="s">
        <v>31</v>
      </c>
      <c r="E32" s="84">
        <f>'2'!B17</f>
        <v>0</v>
      </c>
      <c r="F32" s="85">
        <f>'2'!C17</f>
        <v>0</v>
      </c>
      <c r="G32" s="85">
        <f>'2'!D17</f>
        <v>0</v>
      </c>
      <c r="H32" s="85">
        <f>'2'!E17</f>
        <v>0</v>
      </c>
      <c r="I32" s="86">
        <f>'2'!F17</f>
        <v>0</v>
      </c>
      <c r="J32" s="41" t="str">
        <f>IFERROR(RATE(4,,-E32,I32),"")</f>
        <v/>
      </c>
      <c r="K32" s="77"/>
      <c r="L32" s="78"/>
      <c r="M32" s="79"/>
      <c r="N32" s="80"/>
      <c r="O32" s="37"/>
      <c r="S32" s="48"/>
      <c r="T32" s="37"/>
      <c r="X32" s="48"/>
      <c r="Y32" s="112"/>
      <c r="Z32" s="109"/>
      <c r="AA32" s="48"/>
    </row>
    <row r="33" spans="2:27" ht="18" customHeight="1">
      <c r="B33" s="69"/>
      <c r="C33" s="70"/>
      <c r="D33" s="76" t="s">
        <v>32</v>
      </c>
      <c r="E33" s="84">
        <f>'2'!B18</f>
        <v>0</v>
      </c>
      <c r="F33" s="85">
        <f>'2'!C18</f>
        <v>0</v>
      </c>
      <c r="G33" s="85">
        <f>'2'!D18</f>
        <v>0</v>
      </c>
      <c r="H33" s="85">
        <f>'2'!E18</f>
        <v>0</v>
      </c>
      <c r="I33" s="86">
        <f>'2'!F18</f>
        <v>0</v>
      </c>
      <c r="J33" s="41" t="str">
        <f>IFERROR(RATE(4,,-E33,I33),"")</f>
        <v/>
      </c>
      <c r="K33" s="37"/>
      <c r="L33" s="81"/>
      <c r="M33" s="82"/>
      <c r="N33" s="83"/>
      <c r="O33" s="37"/>
      <c r="S33" s="48"/>
      <c r="T33" s="37"/>
      <c r="X33" s="48"/>
      <c r="Y33" s="107"/>
      <c r="Z33" s="108"/>
      <c r="AA33" s="48"/>
    </row>
    <row r="34" spans="2:27" ht="18" customHeight="1">
      <c r="B34" s="69"/>
      <c r="C34" s="70"/>
      <c r="D34" s="76" t="s">
        <v>33</v>
      </c>
      <c r="E34" s="84">
        <f>'2'!B19</f>
        <v>0</v>
      </c>
      <c r="F34" s="85">
        <f>'2'!C19</f>
        <v>0</v>
      </c>
      <c r="G34" s="85">
        <f>'2'!D19</f>
        <v>0</v>
      </c>
      <c r="H34" s="85">
        <f>'2'!E19</f>
        <v>0</v>
      </c>
      <c r="I34" s="86">
        <f>'2'!F19</f>
        <v>0</v>
      </c>
      <c r="J34" s="41"/>
      <c r="K34" s="37"/>
      <c r="L34" s="81"/>
      <c r="M34" s="82"/>
      <c r="N34" s="83"/>
      <c r="O34" s="87"/>
      <c r="S34" s="48"/>
      <c r="T34" s="37"/>
      <c r="X34" s="48"/>
      <c r="Y34" s="107"/>
      <c r="Z34" s="108"/>
      <c r="AA34" s="48"/>
    </row>
    <row r="35" spans="2:27" ht="18" customHeight="1">
      <c r="B35" s="69"/>
      <c r="C35" s="70"/>
      <c r="D35" s="113" t="s">
        <v>38</v>
      </c>
      <c r="E35" s="88" t="str">
        <f>IFERROR(E30/E31,"")</f>
        <v/>
      </c>
      <c r="F35" s="89" t="str">
        <f>IFERROR(F30/F31,"")</f>
        <v/>
      </c>
      <c r="G35" s="89" t="str">
        <f>IFERROR(G30/G31,"")</f>
        <v/>
      </c>
      <c r="H35" s="89" t="str">
        <f>IFERROR(H30/H31,"")</f>
        <v/>
      </c>
      <c r="I35" s="90" t="str">
        <f>IFERROR(I30/I31,"")</f>
        <v/>
      </c>
      <c r="J35" s="41"/>
      <c r="K35" s="37"/>
      <c r="L35" s="81"/>
      <c r="M35" s="82"/>
      <c r="N35" s="83"/>
      <c r="O35" s="87"/>
      <c r="S35" s="48"/>
      <c r="T35" s="37"/>
      <c r="X35" s="48"/>
      <c r="Y35" s="107"/>
      <c r="Z35" s="108"/>
      <c r="AA35" s="48"/>
    </row>
    <row r="36" spans="2:27" ht="18" customHeight="1">
      <c r="B36" s="69"/>
      <c r="C36" s="70"/>
      <c r="D36" s="76" t="s">
        <v>35</v>
      </c>
      <c r="E36" s="84">
        <f>'2'!B20</f>
        <v>0</v>
      </c>
      <c r="F36" s="85">
        <f>'2'!C20</f>
        <v>0</v>
      </c>
      <c r="G36" s="85">
        <f>'2'!D20</f>
        <v>0</v>
      </c>
      <c r="H36" s="85">
        <f>'2'!E20</f>
        <v>0</v>
      </c>
      <c r="I36" s="86">
        <f>'2'!F20</f>
        <v>0</v>
      </c>
      <c r="J36" s="41"/>
      <c r="K36" s="37"/>
      <c r="L36" s="81"/>
      <c r="M36" s="82"/>
      <c r="N36" s="83"/>
      <c r="O36" s="87"/>
      <c r="S36" s="48"/>
      <c r="T36" s="37"/>
      <c r="X36" s="48"/>
      <c r="Y36" s="107"/>
      <c r="Z36" s="109"/>
      <c r="AA36" s="48"/>
    </row>
    <row r="37" spans="2:27" ht="18" customHeight="1">
      <c r="B37" s="69"/>
      <c r="C37" s="70"/>
      <c r="D37" s="76" t="s">
        <v>36</v>
      </c>
      <c r="E37" s="84">
        <f>'2'!B21</f>
        <v>0</v>
      </c>
      <c r="F37" s="85">
        <f>'2'!C21</f>
        <v>0</v>
      </c>
      <c r="G37" s="85">
        <f>'2'!D21</f>
        <v>0</v>
      </c>
      <c r="H37" s="85">
        <f>'2'!E21</f>
        <v>0</v>
      </c>
      <c r="I37" s="86">
        <f>'2'!F21</f>
        <v>0</v>
      </c>
      <c r="J37" s="41"/>
      <c r="K37" s="37"/>
      <c r="L37" s="81"/>
      <c r="M37" s="82"/>
      <c r="N37" s="114"/>
      <c r="O37" s="87"/>
      <c r="S37" s="48"/>
      <c r="T37" s="37"/>
      <c r="X37" s="48"/>
      <c r="Y37" s="107"/>
      <c r="Z37" s="108"/>
      <c r="AA37" s="48"/>
    </row>
    <row r="38" spans="2:27" ht="18" customHeight="1">
      <c r="B38" s="69"/>
      <c r="C38" s="70"/>
      <c r="D38" s="76" t="s">
        <v>37</v>
      </c>
      <c r="E38" s="91">
        <f>'2'!B22</f>
        <v>0</v>
      </c>
      <c r="F38" s="92">
        <f>'2'!C22</f>
        <v>0</v>
      </c>
      <c r="G38" s="92">
        <f>'2'!D22</f>
        <v>0</v>
      </c>
      <c r="H38" s="92">
        <f>'2'!E22</f>
        <v>0</v>
      </c>
      <c r="I38" s="93">
        <f>'2'!F22</f>
        <v>0</v>
      </c>
      <c r="J38" s="41"/>
      <c r="K38" s="94"/>
      <c r="L38" s="95"/>
      <c r="M38" s="96"/>
      <c r="N38" s="97"/>
      <c r="O38" s="98"/>
      <c r="S38" s="48"/>
      <c r="T38" s="37"/>
      <c r="X38" s="48"/>
      <c r="Y38" s="107"/>
      <c r="Z38" s="108"/>
      <c r="AA38" s="48"/>
    </row>
    <row r="39" spans="2:27" ht="18" customHeight="1">
      <c r="B39" s="19" t="s">
        <v>7</v>
      </c>
      <c r="C39" s="20">
        <v>3</v>
      </c>
      <c r="D39" s="21" t="s">
        <v>8</v>
      </c>
      <c r="E39" s="22">
        <f>'3'!B6</f>
        <v>0</v>
      </c>
      <c r="F39" s="23">
        <f>'3'!C6</f>
        <v>0</v>
      </c>
      <c r="G39" s="23">
        <f>'3'!D6</f>
        <v>0</v>
      </c>
      <c r="H39" s="23">
        <f>'3'!E6</f>
        <v>0</v>
      </c>
      <c r="I39" s="99">
        <f>'3'!F6</f>
        <v>0</v>
      </c>
      <c r="J39" s="100" t="str">
        <f t="shared" ref="J39:J50" si="2">IFERROR(RATE(4,,-E39,I39),"")</f>
        <v/>
      </c>
      <c r="K39" s="101" t="s">
        <v>9</v>
      </c>
      <c r="L39" s="26" t="s">
        <v>10</v>
      </c>
      <c r="M39" s="27" t="s">
        <v>11</v>
      </c>
      <c r="N39" s="26" t="s">
        <v>12</v>
      </c>
      <c r="O39" s="28" t="s">
        <v>13</v>
      </c>
      <c r="P39" s="29"/>
      <c r="Q39" s="29"/>
      <c r="R39" s="29"/>
      <c r="S39" s="30"/>
      <c r="T39" s="102" t="s">
        <v>32</v>
      </c>
      <c r="U39" s="29"/>
      <c r="V39" s="29"/>
      <c r="W39" s="29"/>
      <c r="X39" s="30"/>
      <c r="Y39" s="103"/>
      <c r="Z39" s="115"/>
      <c r="AA39" s="34"/>
    </row>
    <row r="40" spans="2:27" ht="18" customHeight="1">
      <c r="B40" s="35" t="s">
        <v>15</v>
      </c>
      <c r="C40" s="36">
        <f>'3'!B3</f>
        <v>0</v>
      </c>
      <c r="D40" s="37" t="s">
        <v>16</v>
      </c>
      <c r="E40" s="38">
        <f>'3'!B7</f>
        <v>0</v>
      </c>
      <c r="F40" s="39">
        <f>'3'!C7</f>
        <v>0</v>
      </c>
      <c r="G40" s="39">
        <f>'3'!D7</f>
        <v>0</v>
      </c>
      <c r="H40" s="39">
        <f>'3'!E7</f>
        <v>0</v>
      </c>
      <c r="I40" s="40">
        <f>'3'!F7</f>
        <v>0</v>
      </c>
      <c r="J40" s="41" t="str">
        <f t="shared" si="2"/>
        <v/>
      </c>
      <c r="K40" s="3" t="s">
        <v>12</v>
      </c>
      <c r="L40" s="42"/>
      <c r="M40" s="43"/>
      <c r="N40" s="6">
        <f>L40*M40/1000000</f>
        <v>0</v>
      </c>
      <c r="O40" s="37"/>
      <c r="P40" s="44"/>
      <c r="Q40" s="44"/>
      <c r="R40" s="44"/>
      <c r="S40" s="45"/>
      <c r="T40" s="37"/>
      <c r="U40" s="44"/>
      <c r="V40" s="44"/>
      <c r="W40" s="44"/>
      <c r="X40" s="45"/>
      <c r="Y40" s="116"/>
      <c r="Z40" s="117"/>
      <c r="AA40" s="48"/>
    </row>
    <row r="41" spans="2:27" ht="18" customHeight="1">
      <c r="B41" s="35" t="s">
        <v>17</v>
      </c>
      <c r="C41" s="49">
        <f>'3'!D3</f>
        <v>0</v>
      </c>
      <c r="D41" s="50" t="s">
        <v>18</v>
      </c>
      <c r="E41" s="38">
        <f>'3'!B10</f>
        <v>0</v>
      </c>
      <c r="F41" s="39">
        <f>'3'!C10</f>
        <v>0</v>
      </c>
      <c r="G41" s="39">
        <f>'3'!D10</f>
        <v>0</v>
      </c>
      <c r="H41" s="39">
        <f>'3'!E10</f>
        <v>0</v>
      </c>
      <c r="I41" s="40">
        <f>'3'!F10</f>
        <v>0</v>
      </c>
      <c r="J41" s="41" t="str">
        <f t="shared" si="2"/>
        <v/>
      </c>
      <c r="K41" s="51" t="s">
        <v>19</v>
      </c>
      <c r="L41" s="52"/>
      <c r="M41" s="52"/>
      <c r="N41" s="53" t="str">
        <f>IFERROR(N40/I42,"")</f>
        <v/>
      </c>
      <c r="O41" s="37"/>
      <c r="P41" s="44"/>
      <c r="Q41" s="44"/>
      <c r="R41" s="44"/>
      <c r="S41" s="45"/>
      <c r="T41" s="37"/>
      <c r="U41" s="44"/>
      <c r="V41" s="44"/>
      <c r="W41" s="44"/>
      <c r="X41" s="45"/>
      <c r="Y41" s="116"/>
      <c r="Z41" s="109"/>
      <c r="AA41" s="48"/>
    </row>
    <row r="42" spans="2:27" ht="18" customHeight="1">
      <c r="B42" s="35" t="s">
        <v>20</v>
      </c>
      <c r="C42" s="56">
        <f>IFERROR(N40,"")</f>
        <v>0</v>
      </c>
      <c r="D42" s="57" t="s">
        <v>21</v>
      </c>
      <c r="E42" s="38">
        <f>'3'!B11</f>
        <v>0</v>
      </c>
      <c r="F42" s="39">
        <f>'3'!C11</f>
        <v>0</v>
      </c>
      <c r="G42" s="39">
        <f>'3'!D11</f>
        <v>0</v>
      </c>
      <c r="H42" s="39">
        <f>'3'!E11</f>
        <v>0</v>
      </c>
      <c r="I42" s="40">
        <f>'3'!F11</f>
        <v>0</v>
      </c>
      <c r="J42" s="41" t="str">
        <f t="shared" si="2"/>
        <v/>
      </c>
      <c r="K42" s="3" t="s">
        <v>22</v>
      </c>
      <c r="N42" s="6">
        <f>IFERROR(N40+I51,"-")</f>
        <v>0</v>
      </c>
      <c r="O42" s="37"/>
      <c r="P42" s="44"/>
      <c r="Q42" s="44"/>
      <c r="R42" s="44"/>
      <c r="S42" s="45"/>
      <c r="T42" s="37"/>
      <c r="U42" s="44"/>
      <c r="V42" s="44"/>
      <c r="W42" s="44"/>
      <c r="X42" s="45"/>
      <c r="Y42" s="116"/>
      <c r="Z42" s="117"/>
      <c r="AA42" s="48"/>
    </row>
    <row r="43" spans="2:27" ht="18" customHeight="1">
      <c r="B43" s="57" t="s">
        <v>8</v>
      </c>
      <c r="C43" s="58">
        <f>I39</f>
        <v>0</v>
      </c>
      <c r="D43" s="59" t="s">
        <v>23</v>
      </c>
      <c r="E43" s="63" t="str">
        <f>IFERROR(E40/E39,"")</f>
        <v/>
      </c>
      <c r="F43" s="64" t="str">
        <f>IFERROR(F40/F39,"")</f>
        <v/>
      </c>
      <c r="G43" s="64" t="str">
        <f>IFERROR(G40/G39,"")</f>
        <v/>
      </c>
      <c r="H43" s="64" t="str">
        <f>IFERROR(H40/H39,"")</f>
        <v/>
      </c>
      <c r="I43" s="65" t="str">
        <f>IFERROR(I40/I39,"")</f>
        <v/>
      </c>
      <c r="J43" s="41" t="str">
        <f t="shared" si="2"/>
        <v/>
      </c>
      <c r="K43" s="51" t="s">
        <v>24</v>
      </c>
      <c r="L43" s="52"/>
      <c r="M43" s="52"/>
      <c r="N43" s="52" t="str">
        <f>IFERROR(N42/I41,"-")</f>
        <v>-</v>
      </c>
      <c r="O43" s="37"/>
      <c r="P43" s="44"/>
      <c r="Q43" s="44"/>
      <c r="R43" s="44"/>
      <c r="S43" s="45"/>
      <c r="T43" s="37"/>
      <c r="U43" s="44"/>
      <c r="V43" s="44"/>
      <c r="W43" s="44"/>
      <c r="X43" s="45"/>
      <c r="Y43" s="116"/>
      <c r="Z43" s="117"/>
      <c r="AA43" s="48"/>
    </row>
    <row r="44" spans="2:27" ht="18" customHeight="1">
      <c r="B44" s="50" t="s">
        <v>18</v>
      </c>
      <c r="C44" s="58">
        <f>I41</f>
        <v>0</v>
      </c>
      <c r="D44" s="59" t="s">
        <v>25</v>
      </c>
      <c r="E44" s="63" t="str">
        <f>IFERROR(E41/E39,"")</f>
        <v/>
      </c>
      <c r="F44" s="64" t="str">
        <f>IFERROR(F41/F39,"")</f>
        <v/>
      </c>
      <c r="G44" s="64" t="str">
        <f>IFERROR(G41/G39,"")</f>
        <v/>
      </c>
      <c r="H44" s="64" t="str">
        <f>IFERROR(H41/H39,"")</f>
        <v/>
      </c>
      <c r="I44" s="65" t="str">
        <f>IFERROR(I41/I39,"")</f>
        <v/>
      </c>
      <c r="J44" s="41" t="str">
        <f t="shared" si="2"/>
        <v/>
      </c>
      <c r="O44" s="37"/>
      <c r="P44" s="44"/>
      <c r="Q44" s="44"/>
      <c r="R44" s="44"/>
      <c r="S44" s="45"/>
      <c r="T44" s="37"/>
      <c r="U44" s="44"/>
      <c r="V44" s="44"/>
      <c r="W44" s="44"/>
      <c r="X44" s="45"/>
      <c r="Y44" s="116"/>
      <c r="Z44" s="117"/>
      <c r="AA44" s="48"/>
    </row>
    <row r="45" spans="2:27" ht="18" customHeight="1">
      <c r="B45" s="50" t="s">
        <v>19</v>
      </c>
      <c r="C45" s="66" t="str">
        <f>N41</f>
        <v/>
      </c>
      <c r="D45" s="67" t="s">
        <v>26</v>
      </c>
      <c r="E45" s="63" t="str">
        <f>IFERROR(E42/E39,"")</f>
        <v/>
      </c>
      <c r="F45" s="64" t="str">
        <f>IFERROR(F42/F39,"")</f>
        <v/>
      </c>
      <c r="G45" s="64" t="str">
        <f>IFERROR(G42/G39,"")</f>
        <v/>
      </c>
      <c r="H45" s="64" t="str">
        <f>IFERROR(H42/H39,"")</f>
        <v/>
      </c>
      <c r="I45" s="65" t="str">
        <f>IFERROR(I42/I39,"")</f>
        <v/>
      </c>
      <c r="J45" s="41" t="str">
        <f t="shared" si="2"/>
        <v/>
      </c>
      <c r="O45" s="37"/>
      <c r="S45" s="48"/>
      <c r="T45" s="37"/>
      <c r="X45" s="48"/>
      <c r="Y45" s="116"/>
      <c r="Z45" s="109"/>
      <c r="AA45" s="48"/>
    </row>
    <row r="46" spans="2:27" ht="18" customHeight="1">
      <c r="B46" s="50" t="s">
        <v>27</v>
      </c>
      <c r="C46" s="66" t="str">
        <f>N43</f>
        <v>-</v>
      </c>
      <c r="D46" s="68" t="s">
        <v>28</v>
      </c>
      <c r="E46" s="38">
        <f>'3'!B12</f>
        <v>0</v>
      </c>
      <c r="F46" s="39">
        <f>'3'!C12</f>
        <v>0</v>
      </c>
      <c r="G46" s="39">
        <f>'3'!D12</f>
        <v>0</v>
      </c>
      <c r="H46" s="39">
        <f>'3'!E12</f>
        <v>0</v>
      </c>
      <c r="I46" s="40">
        <f>'3'!F12</f>
        <v>0</v>
      </c>
      <c r="J46" s="41" t="str">
        <f t="shared" si="2"/>
        <v/>
      </c>
      <c r="O46" s="37"/>
      <c r="S46" s="48"/>
      <c r="T46" s="37"/>
      <c r="X46" s="48"/>
      <c r="Y46" s="116"/>
      <c r="Z46" s="117"/>
      <c r="AA46" s="48"/>
    </row>
    <row r="47" spans="2:27" ht="18" customHeight="1">
      <c r="B47" s="69"/>
      <c r="C47" s="70"/>
      <c r="D47" s="71" t="s">
        <v>29</v>
      </c>
      <c r="E47" s="38">
        <f>'3'!B13</f>
        <v>0</v>
      </c>
      <c r="F47" s="39">
        <f>'3'!C13</f>
        <v>0</v>
      </c>
      <c r="G47" s="39">
        <f>'3'!D13</f>
        <v>0</v>
      </c>
      <c r="H47" s="39">
        <f>'3'!E13</f>
        <v>0</v>
      </c>
      <c r="I47" s="40">
        <f>'3'!F13</f>
        <v>0</v>
      </c>
      <c r="J47" s="41" t="str">
        <f t="shared" si="2"/>
        <v/>
      </c>
      <c r="K47" s="37"/>
      <c r="N47" s="48"/>
      <c r="O47" s="37"/>
      <c r="S47" s="48"/>
      <c r="T47" s="37"/>
      <c r="X47" s="48"/>
      <c r="Y47" s="118"/>
      <c r="Z47" s="117"/>
      <c r="AA47" s="48"/>
    </row>
    <row r="48" spans="2:27" ht="18" customHeight="1">
      <c r="B48" s="69"/>
      <c r="C48" s="70"/>
      <c r="D48" s="71" t="s">
        <v>30</v>
      </c>
      <c r="E48" s="38">
        <f>'3'!B14</f>
        <v>0</v>
      </c>
      <c r="F48" s="39">
        <f>'3'!C14</f>
        <v>0</v>
      </c>
      <c r="G48" s="39">
        <f>'3'!D14</f>
        <v>0</v>
      </c>
      <c r="H48" s="39">
        <f>'3'!E14</f>
        <v>0</v>
      </c>
      <c r="I48" s="40">
        <f>'3'!F14</f>
        <v>0</v>
      </c>
      <c r="J48" s="41" t="str">
        <f t="shared" si="2"/>
        <v/>
      </c>
      <c r="K48" s="37"/>
      <c r="L48" s="4"/>
      <c r="M48" s="72"/>
      <c r="N48" s="73"/>
      <c r="O48" s="37"/>
      <c r="S48" s="48"/>
      <c r="T48" s="37"/>
      <c r="X48" s="48"/>
      <c r="Y48" s="117"/>
      <c r="Z48" s="119"/>
      <c r="AA48" s="48"/>
    </row>
    <row r="49" spans="1:27" ht="18" customHeight="1">
      <c r="B49" s="69"/>
      <c r="C49" s="70"/>
      <c r="D49" s="76" t="s">
        <v>31</v>
      </c>
      <c r="E49" s="38">
        <f>'3'!B17</f>
        <v>0</v>
      </c>
      <c r="F49" s="39">
        <f>'3'!C17</f>
        <v>0</v>
      </c>
      <c r="G49" s="39">
        <f>'3'!D17</f>
        <v>0</v>
      </c>
      <c r="H49" s="39">
        <f>'3'!E17</f>
        <v>0</v>
      </c>
      <c r="I49" s="40">
        <f>'3'!F17</f>
        <v>0</v>
      </c>
      <c r="J49" s="41" t="str">
        <f t="shared" si="2"/>
        <v/>
      </c>
      <c r="K49" s="77"/>
      <c r="L49" s="78"/>
      <c r="M49" s="79"/>
      <c r="N49" s="80"/>
      <c r="O49" s="37"/>
      <c r="S49" s="48"/>
      <c r="T49" s="37"/>
      <c r="X49" s="48"/>
      <c r="Y49" s="116"/>
      <c r="Z49" s="117"/>
      <c r="AA49" s="48"/>
    </row>
    <row r="50" spans="1:27" ht="18" customHeight="1">
      <c r="B50" s="69"/>
      <c r="C50" s="70"/>
      <c r="D50" s="76" t="s">
        <v>32</v>
      </c>
      <c r="E50" s="38">
        <f>'3'!B18</f>
        <v>0</v>
      </c>
      <c r="F50" s="39">
        <f>'3'!C18</f>
        <v>0</v>
      </c>
      <c r="G50" s="39">
        <f>'3'!D18</f>
        <v>0</v>
      </c>
      <c r="H50" s="39">
        <f>'3'!E18</f>
        <v>0</v>
      </c>
      <c r="I50" s="40">
        <f>'3'!F18</f>
        <v>0</v>
      </c>
      <c r="J50" s="41" t="str">
        <f t="shared" si="2"/>
        <v/>
      </c>
      <c r="K50" s="37"/>
      <c r="L50" s="81"/>
      <c r="M50" s="82"/>
      <c r="N50" s="83"/>
      <c r="O50" s="37"/>
      <c r="S50" s="48"/>
      <c r="T50" s="37"/>
      <c r="X50" s="48"/>
      <c r="Y50" s="117"/>
      <c r="Z50" s="117"/>
      <c r="AA50" s="48"/>
    </row>
    <row r="51" spans="1:27" ht="18" customHeight="1">
      <c r="B51" s="69"/>
      <c r="C51" s="70"/>
      <c r="D51" s="76" t="s">
        <v>33</v>
      </c>
      <c r="E51" s="84">
        <f>'3'!B19</f>
        <v>0</v>
      </c>
      <c r="F51" s="85">
        <f>'3'!C19</f>
        <v>0</v>
      </c>
      <c r="G51" s="85">
        <f>'3'!D19</f>
        <v>0</v>
      </c>
      <c r="H51" s="85">
        <f>'3'!E19</f>
        <v>0</v>
      </c>
      <c r="I51" s="86">
        <f>'3'!F19</f>
        <v>0</v>
      </c>
      <c r="J51" s="41"/>
      <c r="K51" s="37"/>
      <c r="L51" s="81"/>
      <c r="M51" s="82"/>
      <c r="N51" s="83"/>
      <c r="O51" s="87"/>
      <c r="S51" s="48"/>
      <c r="T51" s="37"/>
      <c r="X51" s="48"/>
      <c r="Y51" s="116"/>
      <c r="Z51" s="117"/>
      <c r="AA51" s="48"/>
    </row>
    <row r="52" spans="1:27" ht="18" customHeight="1">
      <c r="B52" s="69"/>
      <c r="C52" s="70"/>
      <c r="D52" s="113" t="s">
        <v>38</v>
      </c>
      <c r="E52" s="88" t="str">
        <f>IFERROR(E47/E48,"")</f>
        <v/>
      </c>
      <c r="F52" s="89" t="str">
        <f>IFERROR(F47/F48,"")</f>
        <v/>
      </c>
      <c r="G52" s="89" t="str">
        <f>IFERROR(G47/G48,"")</f>
        <v/>
      </c>
      <c r="H52" s="89" t="str">
        <f>IFERROR(H47/H48,"")</f>
        <v/>
      </c>
      <c r="I52" s="90" t="str">
        <f>IFERROR(I47/I48,"")</f>
        <v/>
      </c>
      <c r="J52" s="41"/>
      <c r="K52" s="37"/>
      <c r="L52" s="81"/>
      <c r="M52" s="82"/>
      <c r="N52" s="83"/>
      <c r="O52" s="120"/>
      <c r="S52" s="48"/>
      <c r="T52" s="37"/>
      <c r="X52" s="48"/>
      <c r="Y52" s="117"/>
      <c r="Z52" s="117"/>
      <c r="AA52" s="48"/>
    </row>
    <row r="53" spans="1:27" ht="18" customHeight="1">
      <c r="B53" s="69"/>
      <c r="C53" s="70"/>
      <c r="D53" s="76" t="s">
        <v>35</v>
      </c>
      <c r="E53" s="84">
        <f>'3'!B20</f>
        <v>0</v>
      </c>
      <c r="F53" s="85">
        <f>'3'!C20</f>
        <v>0</v>
      </c>
      <c r="G53" s="85">
        <f>'3'!D20</f>
        <v>0</v>
      </c>
      <c r="H53" s="85">
        <f>'3'!E20</f>
        <v>0</v>
      </c>
      <c r="I53" s="86">
        <f>'3'!F20</f>
        <v>0</v>
      </c>
      <c r="J53" s="41"/>
      <c r="K53" s="37"/>
      <c r="L53" s="81"/>
      <c r="M53" s="82"/>
      <c r="N53" s="83"/>
      <c r="O53" s="87"/>
      <c r="S53" s="48"/>
      <c r="T53" s="37"/>
      <c r="X53" s="48"/>
      <c r="Y53" s="117"/>
      <c r="Z53" s="117"/>
      <c r="AA53" s="48"/>
    </row>
    <row r="54" spans="1:27" ht="18" customHeight="1">
      <c r="B54" s="69"/>
      <c r="C54" s="70"/>
      <c r="D54" s="76" t="s">
        <v>36</v>
      </c>
      <c r="E54" s="84">
        <f>'3'!B21</f>
        <v>0</v>
      </c>
      <c r="F54" s="85">
        <f>'3'!C21</f>
        <v>0</v>
      </c>
      <c r="G54" s="85">
        <f>'3'!D21</f>
        <v>0</v>
      </c>
      <c r="H54" s="85">
        <f>'3'!E21</f>
        <v>0</v>
      </c>
      <c r="I54" s="86">
        <f>'3'!F21</f>
        <v>0</v>
      </c>
      <c r="J54" s="41"/>
      <c r="K54" s="37"/>
      <c r="L54" s="81"/>
      <c r="M54" s="82"/>
      <c r="N54" s="83"/>
      <c r="O54" s="87"/>
      <c r="S54" s="48"/>
      <c r="T54" s="37"/>
      <c r="X54" s="48"/>
      <c r="Y54" s="116"/>
      <c r="Z54" s="117"/>
      <c r="AA54" s="48"/>
    </row>
    <row r="55" spans="1:27" ht="18" customHeight="1">
      <c r="B55" s="121"/>
      <c r="C55" s="122"/>
      <c r="D55" s="123" t="s">
        <v>37</v>
      </c>
      <c r="E55" s="91">
        <f>'3'!B22</f>
        <v>0</v>
      </c>
      <c r="F55" s="92">
        <f>'3'!C22</f>
        <v>0</v>
      </c>
      <c r="G55" s="92">
        <f>'3'!D22</f>
        <v>0</v>
      </c>
      <c r="H55" s="92">
        <f>'3'!E22</f>
        <v>0</v>
      </c>
      <c r="I55" s="93">
        <f>'3'!F22</f>
        <v>0</v>
      </c>
      <c r="J55" s="124"/>
      <c r="K55" s="94"/>
      <c r="L55" s="95"/>
      <c r="M55" s="96"/>
      <c r="N55" s="97"/>
      <c r="O55" s="98"/>
      <c r="P55" s="125"/>
      <c r="Q55" s="125"/>
      <c r="R55" s="125"/>
      <c r="S55" s="126"/>
      <c r="T55" s="94"/>
      <c r="U55" s="125"/>
      <c r="V55" s="125"/>
      <c r="W55" s="125"/>
      <c r="X55" s="126"/>
      <c r="Y55" s="127"/>
      <c r="Z55" s="127"/>
      <c r="AA55" s="48"/>
    </row>
    <row r="56" spans="1:27" ht="16.5" customHeight="1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</row>
    <row r="57" spans="1:27" ht="16.5" customHeight="1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</row>
    <row r="58" spans="1:27" ht="16.5" customHeight="1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</row>
    <row r="59" spans="1:27" ht="16.5" customHeight="1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</row>
    <row r="60" spans="1:27" ht="16.5" customHeight="1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</row>
    <row r="61" spans="1:27" ht="16.5" customHeight="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</row>
    <row r="62" spans="1:27" ht="16.5" customHeight="1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</row>
    <row r="63" spans="1:27" ht="16.5" customHeight="1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</row>
    <row r="64" spans="1:27" ht="16.5" customHeight="1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</row>
    <row r="65" spans="1:27" ht="16.5" customHeight="1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</row>
    <row r="66" spans="1:27" ht="16.5" customHeight="1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</row>
    <row r="67" spans="1:27" ht="16.5" customHeight="1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</row>
    <row r="68" spans="1:27" ht="16.5" customHeight="1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</row>
    <row r="69" spans="1:27" ht="16.5" customHeight="1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</row>
    <row r="70" spans="1:27" ht="16.5" customHeight="1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</row>
    <row r="71" spans="1:27" ht="16.5" customHeight="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</row>
    <row r="72" spans="1:27" ht="16.5" customHeight="1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</row>
    <row r="73" spans="1:27" ht="16.5" customHeight="1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</row>
    <row r="74" spans="1:27" ht="16.5" customHeight="1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</row>
    <row r="75" spans="1:27" ht="16.5" customHeight="1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</row>
    <row r="76" spans="1:27" ht="16.5" customHeight="1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</row>
    <row r="77" spans="1:27" ht="16.5" customHeight="1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</row>
    <row r="78" spans="1:27" ht="16.5" customHeight="1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</row>
    <row r="79" spans="1:27" ht="16.5" customHeight="1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</row>
    <row r="80" spans="1:27" ht="16.5" customHeight="1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</row>
    <row r="81" spans="1:27" ht="16.5" customHeight="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</row>
    <row r="82" spans="1:27" ht="16.5" customHeight="1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</row>
    <row r="83" spans="1:27" ht="16.5" customHeight="1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</row>
    <row r="84" spans="1:27" ht="16.5" customHeight="1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</row>
    <row r="85" spans="1:27" ht="16.5" customHeight="1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</row>
    <row r="86" spans="1:27" ht="16.5" customHeight="1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</row>
    <row r="87" spans="1:27" ht="16.5" customHeight="1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</row>
    <row r="88" spans="1:27" ht="16.5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</row>
    <row r="89" spans="1:27" ht="16.5" customHeight="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</row>
    <row r="90" spans="1:27" ht="16.5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</row>
    <row r="91" spans="1:27" ht="16.5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</row>
    <row r="92" spans="1:27" ht="16.5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</row>
    <row r="93" spans="1:27" ht="16.5" customHeight="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</row>
    <row r="94" spans="1:27" ht="16.5" customHeight="1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</row>
    <row r="95" spans="1:27" ht="16.5" customHeight="1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</row>
    <row r="96" spans="1:27" ht="16.5" customHeight="1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</row>
    <row r="97" spans="1:27" ht="16.5" customHeight="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</row>
    <row r="98" spans="1:27" ht="16.5" customHeight="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</row>
  </sheetData>
  <mergeCells count="2">
    <mergeCell ref="B4:C4"/>
    <mergeCell ref="K4:X4"/>
  </mergeCells>
  <phoneticPr fontId="42" type="noConversion"/>
  <pageMargins left="0.3" right="0.3" top="0.3" bottom="0.3" header="0.511811023622047" footer="0.511811023622047"/>
  <pageSetup paperSize="9" fitToHeight="0" orientation="landscape" horizontalDpi="300" verticalDpi="300"/>
  <rowBreaks count="2" manualBreakCount="2">
    <brk id="21" max="16383" man="1"/>
    <brk id="38" max="16383" man="1"/>
  </rowBreak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2:L27"/>
  <sheetViews>
    <sheetView zoomScale="64" zoomScaleNormal="70" workbookViewId="0">
      <selection activeCell="D4" sqref="D4"/>
    </sheetView>
  </sheetViews>
  <sheetFormatPr baseColWidth="10" defaultColWidth="9" defaultRowHeight="15.75" customHeight="1"/>
  <cols>
    <col min="1" max="1" width="30.83203125" style="129" customWidth="1"/>
    <col min="2" max="6" width="16.1640625" style="129" customWidth="1"/>
    <col min="7" max="7" width="16.33203125" style="130" customWidth="1"/>
    <col min="8" max="8" width="3.83203125" style="131" customWidth="1"/>
    <col min="9" max="12" width="11.33203125" style="131" customWidth="1"/>
    <col min="13" max="16384" width="9" style="129"/>
  </cols>
  <sheetData>
    <row r="2" spans="1:12" ht="15.75" customHeight="1">
      <c r="D2" s="132" t="s">
        <v>39</v>
      </c>
      <c r="F2" s="131"/>
      <c r="G2" s="133"/>
      <c r="K2" s="129"/>
      <c r="L2" s="129"/>
    </row>
    <row r="3" spans="1:12" ht="16.5" customHeight="1">
      <c r="A3" s="134" t="s">
        <v>15</v>
      </c>
      <c r="B3" s="135" t="s">
        <v>72</v>
      </c>
      <c r="C3" s="134" t="s">
        <v>17</v>
      </c>
      <c r="D3" s="135" t="s">
        <v>73</v>
      </c>
      <c r="F3" s="131"/>
      <c r="G3" s="136" t="s">
        <v>40</v>
      </c>
      <c r="K3" s="129"/>
      <c r="L3" s="129"/>
    </row>
    <row r="4" spans="1:12" ht="10.5" customHeight="1"/>
    <row r="5" spans="1:12" ht="19.5" customHeight="1">
      <c r="A5" s="137"/>
      <c r="B5" s="137">
        <v>2021</v>
      </c>
      <c r="C5" s="137">
        <v>2022</v>
      </c>
      <c r="D5" s="137">
        <v>2023</v>
      </c>
      <c r="E5" s="137">
        <v>2024</v>
      </c>
      <c r="F5" s="137">
        <v>2025</v>
      </c>
      <c r="G5" s="137" t="s">
        <v>41</v>
      </c>
    </row>
    <row r="6" spans="1:12" ht="21" customHeight="1">
      <c r="A6" s="138" t="s">
        <v>42</v>
      </c>
      <c r="B6" s="139">
        <v>17851906</v>
      </c>
      <c r="C6" s="139">
        <v>25598609</v>
      </c>
      <c r="D6" s="139">
        <v>33745470</v>
      </c>
      <c r="E6" s="139">
        <v>25619585</v>
      </c>
      <c r="F6" s="139">
        <v>23671759</v>
      </c>
      <c r="G6" s="161" t="s">
        <v>43</v>
      </c>
      <c r="I6" s="140" t="s">
        <v>43</v>
      </c>
      <c r="J6" s="141" t="s">
        <v>44</v>
      </c>
      <c r="K6" s="142" t="s">
        <v>45</v>
      </c>
    </row>
    <row r="7" spans="1:12" ht="21" customHeight="1">
      <c r="A7" s="138" t="s">
        <v>46</v>
      </c>
      <c r="B7" s="139">
        <v>768470</v>
      </c>
      <c r="C7" s="139">
        <v>1213719</v>
      </c>
      <c r="D7" s="139">
        <v>2163234</v>
      </c>
      <c r="E7" s="139">
        <v>575387</v>
      </c>
      <c r="F7" s="139">
        <v>1346120</v>
      </c>
      <c r="G7" s="161"/>
      <c r="I7" s="140" t="s">
        <v>47</v>
      </c>
      <c r="J7" s="141" t="s">
        <v>47</v>
      </c>
      <c r="K7" s="143" t="s">
        <v>48</v>
      </c>
    </row>
    <row r="8" spans="1:12" ht="21" customHeight="1">
      <c r="A8" s="144" t="s">
        <v>49</v>
      </c>
      <c r="B8" s="145">
        <v>1347384</v>
      </c>
      <c r="C8" s="145">
        <v>1745493</v>
      </c>
      <c r="D8" s="145">
        <v>2150207</v>
      </c>
      <c r="E8" s="145">
        <v>2856045</v>
      </c>
      <c r="F8" s="145">
        <v>3413557</v>
      </c>
      <c r="G8" s="162" t="s">
        <v>50</v>
      </c>
    </row>
    <row r="9" spans="1:12" ht="21" customHeight="1">
      <c r="A9" s="144" t="s">
        <v>51</v>
      </c>
      <c r="B9" s="145">
        <v>70424</v>
      </c>
      <c r="C9" s="145">
        <v>97220</v>
      </c>
      <c r="D9" s="145">
        <v>136672</v>
      </c>
      <c r="E9" s="145">
        <v>189739</v>
      </c>
      <c r="F9" s="145">
        <v>277693</v>
      </c>
      <c r="G9" s="162"/>
    </row>
    <row r="10" spans="1:12" ht="21" customHeight="1">
      <c r="A10" s="146" t="s">
        <v>18</v>
      </c>
      <c r="B10" s="155">
        <f t="shared" ref="B10:E10" si="0">B7+B8+B9</f>
        <v>2186278</v>
      </c>
      <c r="C10" s="155">
        <f t="shared" si="0"/>
        <v>3056432</v>
      </c>
      <c r="D10" s="155">
        <f t="shared" si="0"/>
        <v>4450113</v>
      </c>
      <c r="E10" s="155">
        <f t="shared" si="0"/>
        <v>3621171</v>
      </c>
      <c r="F10" s="155">
        <f>F7+F8+F9</f>
        <v>5037370</v>
      </c>
      <c r="G10" s="156" t="s">
        <v>52</v>
      </c>
      <c r="I10" s="131" t="s">
        <v>53</v>
      </c>
    </row>
    <row r="11" spans="1:12" ht="21" customHeight="1">
      <c r="A11" s="138" t="s">
        <v>54</v>
      </c>
      <c r="B11" s="139">
        <v>929868</v>
      </c>
      <c r="C11" s="139">
        <v>779826</v>
      </c>
      <c r="D11" s="139">
        <v>1637985</v>
      </c>
      <c r="E11" s="139">
        <v>338602</v>
      </c>
      <c r="F11" s="139">
        <v>80803</v>
      </c>
      <c r="G11" s="2" t="s">
        <v>43</v>
      </c>
    </row>
    <row r="12" spans="1:12" ht="21" customHeight="1">
      <c r="A12" s="147" t="s">
        <v>55</v>
      </c>
      <c r="B12" s="148">
        <v>23764137</v>
      </c>
      <c r="C12" s="149">
        <v>38299445</v>
      </c>
      <c r="D12" s="148">
        <v>45437144</v>
      </c>
      <c r="E12" s="148">
        <v>60306791</v>
      </c>
      <c r="F12" s="148">
        <v>67147953</v>
      </c>
      <c r="G12" s="163" t="s">
        <v>44</v>
      </c>
    </row>
    <row r="13" spans="1:12" ht="21" customHeight="1">
      <c r="A13" s="147" t="s">
        <v>56</v>
      </c>
      <c r="B13" s="148">
        <v>15021764</v>
      </c>
      <c r="C13" s="148">
        <v>17705683</v>
      </c>
      <c r="D13" s="148">
        <v>21063635</v>
      </c>
      <c r="E13" s="148">
        <v>29340248</v>
      </c>
      <c r="F13" s="148">
        <v>37826277</v>
      </c>
      <c r="G13" s="163"/>
    </row>
    <row r="14" spans="1:12" ht="21" customHeight="1">
      <c r="A14" s="147" t="s">
        <v>57</v>
      </c>
      <c r="B14" s="148">
        <v>8742373</v>
      </c>
      <c r="C14" s="148">
        <v>20593762</v>
      </c>
      <c r="D14" s="148">
        <v>24373509</v>
      </c>
      <c r="E14" s="148">
        <v>30966543</v>
      </c>
      <c r="F14" s="148">
        <v>29321676</v>
      </c>
      <c r="G14" s="163"/>
    </row>
    <row r="15" spans="1:12" ht="21" customHeight="1">
      <c r="A15" s="144" t="s">
        <v>58</v>
      </c>
      <c r="B15" s="148">
        <v>2203376</v>
      </c>
      <c r="C15" s="148">
        <v>2866701</v>
      </c>
      <c r="D15" s="148">
        <v>3211456</v>
      </c>
      <c r="E15" s="148">
        <v>2490240</v>
      </c>
      <c r="F15" s="148">
        <v>6686206</v>
      </c>
      <c r="G15" s="163"/>
      <c r="I15" s="150"/>
    </row>
    <row r="16" spans="1:12" ht="21" customHeight="1">
      <c r="A16" s="144" t="s">
        <v>59</v>
      </c>
      <c r="B16" s="148">
        <v>4765817</v>
      </c>
      <c r="C16" s="148">
        <v>5242552</v>
      </c>
      <c r="D16" s="148">
        <v>7720832</v>
      </c>
      <c r="E16" s="149">
        <v>12900311</v>
      </c>
      <c r="F16" s="148">
        <v>15825890</v>
      </c>
      <c r="G16" s="163"/>
    </row>
    <row r="17" spans="1:12" ht="21" customHeight="1">
      <c r="A17" s="147" t="s">
        <v>31</v>
      </c>
      <c r="B17" s="155">
        <f t="shared" ref="B17:E17" si="1">B15+B16</f>
        <v>6969193</v>
      </c>
      <c r="C17" s="155">
        <f t="shared" si="1"/>
        <v>8109253</v>
      </c>
      <c r="D17" s="155">
        <f t="shared" si="1"/>
        <v>10932288</v>
      </c>
      <c r="E17" s="155">
        <f t="shared" si="1"/>
        <v>15390551</v>
      </c>
      <c r="F17" s="155">
        <f>F15+F16</f>
        <v>22512096</v>
      </c>
      <c r="G17" s="156" t="s">
        <v>52</v>
      </c>
      <c r="I17" s="151" t="s">
        <v>60</v>
      </c>
    </row>
    <row r="18" spans="1:12" ht="21" customHeight="1">
      <c r="A18" s="147" t="s">
        <v>32</v>
      </c>
      <c r="B18" s="148">
        <v>1282880</v>
      </c>
      <c r="C18" s="148">
        <v>5937967</v>
      </c>
      <c r="D18" s="148">
        <v>5068783</v>
      </c>
      <c r="E18" s="148">
        <v>3898711</v>
      </c>
      <c r="F18" s="148">
        <v>3779307</v>
      </c>
      <c r="G18" s="1" t="s">
        <v>44</v>
      </c>
    </row>
    <row r="19" spans="1:12" ht="21" customHeight="1">
      <c r="A19" s="147" t="s">
        <v>61</v>
      </c>
      <c r="B19" s="155">
        <f t="shared" ref="B19:E19" si="2">B17-B18</f>
        <v>5686313</v>
      </c>
      <c r="C19" s="155">
        <f t="shared" si="2"/>
        <v>2171286</v>
      </c>
      <c r="D19" s="155">
        <f t="shared" si="2"/>
        <v>5863505</v>
      </c>
      <c r="E19" s="155">
        <f t="shared" si="2"/>
        <v>11491840</v>
      </c>
      <c r="F19" s="155">
        <f>F17-F18</f>
        <v>18732789</v>
      </c>
      <c r="G19" s="156" t="s">
        <v>52</v>
      </c>
      <c r="I19" s="151" t="s">
        <v>62</v>
      </c>
    </row>
    <row r="20" spans="1:12" ht="27.75" customHeight="1">
      <c r="A20" s="138" t="s">
        <v>63</v>
      </c>
      <c r="B20" s="145">
        <v>978585</v>
      </c>
      <c r="C20" s="145">
        <v>-579807</v>
      </c>
      <c r="D20" s="145">
        <v>4444179</v>
      </c>
      <c r="E20" s="145">
        <v>5111700</v>
      </c>
      <c r="F20" s="145">
        <v>4432277</v>
      </c>
      <c r="G20" s="164" t="s">
        <v>45</v>
      </c>
    </row>
    <row r="21" spans="1:12" ht="27.75" customHeight="1">
      <c r="A21" s="138" t="s">
        <v>64</v>
      </c>
      <c r="B21" s="145">
        <v>-2178121</v>
      </c>
      <c r="C21" s="145">
        <v>-6259356</v>
      </c>
      <c r="D21" s="145">
        <v>-9719327</v>
      </c>
      <c r="E21" s="145">
        <v>-12065447</v>
      </c>
      <c r="F21" s="145">
        <v>-10881277</v>
      </c>
      <c r="G21" s="164"/>
    </row>
    <row r="22" spans="1:12" ht="27.75" customHeight="1">
      <c r="A22" s="138" t="s">
        <v>65</v>
      </c>
      <c r="B22" s="145">
        <v>882835</v>
      </c>
      <c r="C22" s="145">
        <v>11414617</v>
      </c>
      <c r="D22" s="145">
        <v>4354690</v>
      </c>
      <c r="E22" s="145">
        <v>5381505</v>
      </c>
      <c r="F22" s="145">
        <v>6285926</v>
      </c>
      <c r="G22" s="164"/>
    </row>
    <row r="24" spans="1:12" ht="15.75" customHeight="1">
      <c r="A24" s="131" t="s">
        <v>66</v>
      </c>
      <c r="G24" s="131"/>
      <c r="L24" s="129"/>
    </row>
    <row r="25" spans="1:12" ht="15.75" customHeight="1">
      <c r="A25" s="129" t="s">
        <v>67</v>
      </c>
    </row>
    <row r="26" spans="1:12" ht="15.75" customHeight="1">
      <c r="A26" s="129" t="s">
        <v>68</v>
      </c>
    </row>
    <row r="27" spans="1:12" ht="15.75" customHeight="1">
      <c r="A27" s="129" t="s">
        <v>69</v>
      </c>
    </row>
  </sheetData>
  <mergeCells count="4">
    <mergeCell ref="G6:G7"/>
    <mergeCell ref="G8:G9"/>
    <mergeCell ref="G12:G16"/>
    <mergeCell ref="G20:G22"/>
  </mergeCells>
  <phoneticPr fontId="4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00"/>
  </sheetPr>
  <dimension ref="A2:L27"/>
  <sheetViews>
    <sheetView zoomScale="70" zoomScaleNormal="70" workbookViewId="0">
      <selection activeCell="B19" sqref="B19:G19"/>
    </sheetView>
  </sheetViews>
  <sheetFormatPr baseColWidth="10" defaultColWidth="9" defaultRowHeight="15.75" customHeight="1"/>
  <cols>
    <col min="1" max="1" width="37" style="129" customWidth="1"/>
    <col min="2" max="6" width="16.1640625" style="129" customWidth="1"/>
    <col min="7" max="7" width="16.33203125" style="130" customWidth="1"/>
    <col min="8" max="8" width="3.83203125" style="131" customWidth="1"/>
    <col min="9" max="12" width="11.33203125" style="131" customWidth="1"/>
    <col min="13" max="16384" width="9" style="129"/>
  </cols>
  <sheetData>
    <row r="2" spans="1:12" ht="15.75" customHeight="1">
      <c r="D2" s="132" t="s">
        <v>39</v>
      </c>
      <c r="F2" s="131"/>
      <c r="G2" s="133"/>
      <c r="K2" s="129"/>
      <c r="L2" s="129"/>
    </row>
    <row r="3" spans="1:12" ht="16.5" customHeight="1">
      <c r="A3" s="134" t="s">
        <v>15</v>
      </c>
      <c r="B3" s="135"/>
      <c r="C3" s="134" t="s">
        <v>17</v>
      </c>
      <c r="D3" s="135"/>
      <c r="F3" s="131"/>
      <c r="G3" s="136" t="s">
        <v>40</v>
      </c>
      <c r="K3" s="129"/>
      <c r="L3" s="129"/>
    </row>
    <row r="4" spans="1:12" ht="10.5" customHeight="1"/>
    <row r="5" spans="1:12" ht="19.5" customHeight="1">
      <c r="A5" s="137"/>
      <c r="B5" s="137">
        <v>2021</v>
      </c>
      <c r="C5" s="137">
        <v>2022</v>
      </c>
      <c r="D5" s="137">
        <v>2023</v>
      </c>
      <c r="E5" s="137">
        <v>2024</v>
      </c>
      <c r="F5" s="137">
        <v>2025</v>
      </c>
      <c r="G5" s="137" t="s">
        <v>41</v>
      </c>
    </row>
    <row r="6" spans="1:12" ht="21" customHeight="1">
      <c r="A6" s="138" t="s">
        <v>42</v>
      </c>
      <c r="B6" s="139"/>
      <c r="C6" s="139"/>
      <c r="D6" s="139"/>
      <c r="E6" s="139"/>
      <c r="F6" s="139"/>
      <c r="G6" s="161" t="s">
        <v>43</v>
      </c>
      <c r="I6" s="140" t="s">
        <v>43</v>
      </c>
      <c r="J6" s="141" t="s">
        <v>44</v>
      </c>
      <c r="K6" s="142" t="s">
        <v>45</v>
      </c>
    </row>
    <row r="7" spans="1:12" ht="21" customHeight="1">
      <c r="A7" s="138" t="s">
        <v>46</v>
      </c>
      <c r="B7" s="139"/>
      <c r="C7" s="139"/>
      <c r="D7" s="139"/>
      <c r="E7" s="139"/>
      <c r="F7" s="139"/>
      <c r="G7" s="161"/>
      <c r="I7" s="140" t="s">
        <v>47</v>
      </c>
      <c r="J7" s="141" t="s">
        <v>47</v>
      </c>
      <c r="K7" s="143" t="s">
        <v>48</v>
      </c>
    </row>
    <row r="8" spans="1:12" ht="21" customHeight="1">
      <c r="A8" s="144" t="s">
        <v>49</v>
      </c>
      <c r="B8" s="145"/>
      <c r="C8" s="145"/>
      <c r="D8" s="145"/>
      <c r="E8" s="145"/>
      <c r="F8" s="145"/>
      <c r="G8" s="162" t="s">
        <v>50</v>
      </c>
    </row>
    <row r="9" spans="1:12" ht="21" customHeight="1">
      <c r="A9" s="144" t="s">
        <v>51</v>
      </c>
      <c r="B9" s="145"/>
      <c r="C9" s="145"/>
      <c r="D9" s="145"/>
      <c r="E9" s="145"/>
      <c r="F9" s="145"/>
      <c r="G9" s="162"/>
    </row>
    <row r="10" spans="1:12" ht="21" customHeight="1">
      <c r="A10" s="146" t="s">
        <v>18</v>
      </c>
      <c r="B10" s="155">
        <f t="shared" ref="B10:E10" si="0">B7+B8+B9</f>
        <v>0</v>
      </c>
      <c r="C10" s="155">
        <f t="shared" si="0"/>
        <v>0</v>
      </c>
      <c r="D10" s="155">
        <f t="shared" si="0"/>
        <v>0</v>
      </c>
      <c r="E10" s="155">
        <f t="shared" si="0"/>
        <v>0</v>
      </c>
      <c r="F10" s="155">
        <f>F7+F8+F9</f>
        <v>0</v>
      </c>
      <c r="G10" s="156" t="s">
        <v>52</v>
      </c>
      <c r="I10" s="131" t="s">
        <v>53</v>
      </c>
    </row>
    <row r="11" spans="1:12" ht="21" customHeight="1">
      <c r="A11" s="138" t="s">
        <v>54</v>
      </c>
      <c r="B11" s="139"/>
      <c r="C11" s="139"/>
      <c r="D11" s="139"/>
      <c r="E11" s="139"/>
      <c r="F11" s="139"/>
      <c r="G11" s="2" t="s">
        <v>43</v>
      </c>
    </row>
    <row r="12" spans="1:12" ht="21" customHeight="1">
      <c r="A12" s="147" t="s">
        <v>55</v>
      </c>
      <c r="B12" s="148"/>
      <c r="C12" s="149"/>
      <c r="D12" s="148"/>
      <c r="E12" s="148"/>
      <c r="F12" s="148"/>
      <c r="G12" s="163" t="s">
        <v>44</v>
      </c>
    </row>
    <row r="13" spans="1:12" ht="21" customHeight="1">
      <c r="A13" s="147" t="s">
        <v>56</v>
      </c>
      <c r="B13" s="148"/>
      <c r="C13" s="148"/>
      <c r="D13" s="148"/>
      <c r="E13" s="148"/>
      <c r="F13" s="148"/>
      <c r="G13" s="163"/>
    </row>
    <row r="14" spans="1:12" ht="21" customHeight="1">
      <c r="A14" s="147" t="s">
        <v>57</v>
      </c>
      <c r="B14" s="148"/>
      <c r="C14" s="148"/>
      <c r="D14" s="148"/>
      <c r="E14" s="148"/>
      <c r="F14" s="148"/>
      <c r="G14" s="163"/>
    </row>
    <row r="15" spans="1:12" ht="21" customHeight="1">
      <c r="A15" s="144" t="s">
        <v>58</v>
      </c>
      <c r="B15" s="148"/>
      <c r="C15" s="148"/>
      <c r="D15" s="148"/>
      <c r="E15" s="148"/>
      <c r="F15" s="148"/>
      <c r="G15" s="163"/>
      <c r="I15" s="150"/>
    </row>
    <row r="16" spans="1:12" ht="21" customHeight="1">
      <c r="A16" s="144" t="s">
        <v>59</v>
      </c>
      <c r="B16" s="148"/>
      <c r="C16" s="148"/>
      <c r="D16" s="148"/>
      <c r="E16" s="149"/>
      <c r="F16" s="148"/>
      <c r="G16" s="163"/>
    </row>
    <row r="17" spans="1:12" ht="21" customHeight="1">
      <c r="A17" s="147" t="s">
        <v>31</v>
      </c>
      <c r="B17" s="155">
        <f t="shared" ref="B17:E17" si="1">B15+B16</f>
        <v>0</v>
      </c>
      <c r="C17" s="155">
        <f t="shared" si="1"/>
        <v>0</v>
      </c>
      <c r="D17" s="155">
        <f t="shared" si="1"/>
        <v>0</v>
      </c>
      <c r="E17" s="155">
        <f t="shared" si="1"/>
        <v>0</v>
      </c>
      <c r="F17" s="155">
        <f>F15+F16</f>
        <v>0</v>
      </c>
      <c r="G17" s="156" t="s">
        <v>52</v>
      </c>
      <c r="I17" s="151" t="s">
        <v>60</v>
      </c>
    </row>
    <row r="18" spans="1:12" ht="21" customHeight="1">
      <c r="A18" s="147" t="s">
        <v>32</v>
      </c>
      <c r="B18" s="148"/>
      <c r="C18" s="148"/>
      <c r="D18" s="148"/>
      <c r="E18" s="148"/>
      <c r="F18" s="148"/>
      <c r="G18" s="1" t="s">
        <v>44</v>
      </c>
    </row>
    <row r="19" spans="1:12" ht="21" customHeight="1">
      <c r="A19" s="147" t="s">
        <v>61</v>
      </c>
      <c r="B19" s="155">
        <f t="shared" ref="B19:E19" si="2">B17-B18</f>
        <v>0</v>
      </c>
      <c r="C19" s="155">
        <f t="shared" si="2"/>
        <v>0</v>
      </c>
      <c r="D19" s="155">
        <f t="shared" si="2"/>
        <v>0</v>
      </c>
      <c r="E19" s="155">
        <f t="shared" si="2"/>
        <v>0</v>
      </c>
      <c r="F19" s="155">
        <f>F17-F18</f>
        <v>0</v>
      </c>
      <c r="G19" s="156" t="s">
        <v>52</v>
      </c>
      <c r="I19" s="151" t="s">
        <v>62</v>
      </c>
    </row>
    <row r="20" spans="1:12" ht="27.75" customHeight="1">
      <c r="A20" s="138" t="s">
        <v>63</v>
      </c>
      <c r="B20" s="145"/>
      <c r="C20" s="145"/>
      <c r="D20" s="145"/>
      <c r="E20" s="145"/>
      <c r="F20" s="145"/>
      <c r="G20" s="164" t="s">
        <v>45</v>
      </c>
    </row>
    <row r="21" spans="1:12" ht="27.75" customHeight="1">
      <c r="A21" s="138" t="s">
        <v>64</v>
      </c>
      <c r="B21" s="145"/>
      <c r="C21" s="145"/>
      <c r="D21" s="145"/>
      <c r="E21" s="145"/>
      <c r="F21" s="145"/>
      <c r="G21" s="164"/>
    </row>
    <row r="22" spans="1:12" ht="27.75" customHeight="1">
      <c r="A22" s="138" t="s">
        <v>65</v>
      </c>
      <c r="B22" s="145"/>
      <c r="C22" s="145"/>
      <c r="D22" s="145"/>
      <c r="E22" s="145"/>
      <c r="F22" s="145"/>
      <c r="G22" s="164"/>
    </row>
    <row r="24" spans="1:12" ht="15.75" customHeight="1">
      <c r="A24" s="131" t="s">
        <v>66</v>
      </c>
      <c r="G24" s="131"/>
      <c r="L24" s="129"/>
    </row>
    <row r="25" spans="1:12" ht="15.75" customHeight="1">
      <c r="A25" s="129" t="s">
        <v>67</v>
      </c>
    </row>
    <row r="26" spans="1:12" ht="15.75" customHeight="1">
      <c r="A26" s="129" t="s">
        <v>68</v>
      </c>
    </row>
    <row r="27" spans="1:12" ht="15.75" customHeight="1">
      <c r="A27" s="129" t="s">
        <v>69</v>
      </c>
    </row>
  </sheetData>
  <mergeCells count="4">
    <mergeCell ref="G6:G7"/>
    <mergeCell ref="G8:G9"/>
    <mergeCell ref="G12:G16"/>
    <mergeCell ref="G20:G22"/>
  </mergeCells>
  <phoneticPr fontId="4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00"/>
  </sheetPr>
  <dimension ref="A2:L27"/>
  <sheetViews>
    <sheetView zoomScale="70" zoomScaleNormal="70" workbookViewId="0">
      <selection activeCell="C32" sqref="C32"/>
    </sheetView>
  </sheetViews>
  <sheetFormatPr baseColWidth="10" defaultColWidth="9" defaultRowHeight="15.75" customHeight="1"/>
  <cols>
    <col min="1" max="1" width="37" style="129" customWidth="1"/>
    <col min="2" max="6" width="16.1640625" style="129" customWidth="1"/>
    <col min="7" max="7" width="16.33203125" style="130" customWidth="1"/>
    <col min="8" max="8" width="3.83203125" style="131" customWidth="1"/>
    <col min="9" max="12" width="11.33203125" style="131" customWidth="1"/>
    <col min="13" max="16384" width="9" style="129"/>
  </cols>
  <sheetData>
    <row r="2" spans="1:12" ht="15.75" customHeight="1">
      <c r="D2" s="132" t="s">
        <v>39</v>
      </c>
      <c r="F2" s="131"/>
      <c r="G2" s="133"/>
      <c r="K2" s="129"/>
      <c r="L2" s="129"/>
    </row>
    <row r="3" spans="1:12" ht="16.5" customHeight="1">
      <c r="A3" s="134" t="s">
        <v>15</v>
      </c>
      <c r="B3" s="135"/>
      <c r="C3" s="134" t="s">
        <v>17</v>
      </c>
      <c r="D3" s="135"/>
      <c r="F3" s="131"/>
      <c r="G3" s="136" t="s">
        <v>40</v>
      </c>
      <c r="K3" s="129"/>
      <c r="L3" s="129"/>
    </row>
    <row r="4" spans="1:12" ht="10.5" customHeight="1"/>
    <row r="5" spans="1:12" ht="19.5" customHeight="1">
      <c r="A5" s="137"/>
      <c r="B5" s="137">
        <v>2021</v>
      </c>
      <c r="C5" s="137">
        <v>2022</v>
      </c>
      <c r="D5" s="137">
        <v>2023</v>
      </c>
      <c r="E5" s="137">
        <v>2024</v>
      </c>
      <c r="F5" s="137">
        <v>2025</v>
      </c>
      <c r="G5" s="137" t="s">
        <v>41</v>
      </c>
    </row>
    <row r="6" spans="1:12" ht="21" customHeight="1">
      <c r="A6" s="138" t="s">
        <v>42</v>
      </c>
      <c r="B6" s="139"/>
      <c r="C6" s="139"/>
      <c r="D6" s="139"/>
      <c r="E6" s="139"/>
      <c r="F6" s="139"/>
      <c r="G6" s="161" t="s">
        <v>43</v>
      </c>
      <c r="I6" s="140" t="s">
        <v>43</v>
      </c>
      <c r="J6" s="141" t="s">
        <v>44</v>
      </c>
      <c r="K6" s="142" t="s">
        <v>45</v>
      </c>
    </row>
    <row r="7" spans="1:12" ht="21" customHeight="1">
      <c r="A7" s="138" t="s">
        <v>46</v>
      </c>
      <c r="B7" s="139"/>
      <c r="C7" s="139"/>
      <c r="D7" s="139"/>
      <c r="E7" s="139"/>
      <c r="F7" s="139"/>
      <c r="G7" s="161"/>
      <c r="I7" s="140" t="s">
        <v>47</v>
      </c>
      <c r="J7" s="141" t="s">
        <v>47</v>
      </c>
      <c r="K7" s="143" t="s">
        <v>48</v>
      </c>
    </row>
    <row r="8" spans="1:12" ht="21" customHeight="1">
      <c r="A8" s="144" t="s">
        <v>49</v>
      </c>
      <c r="B8" s="145"/>
      <c r="C8" s="145"/>
      <c r="D8" s="145"/>
      <c r="E8" s="145"/>
      <c r="F8" s="145"/>
      <c r="G8" s="162" t="s">
        <v>50</v>
      </c>
    </row>
    <row r="9" spans="1:12" ht="21" customHeight="1">
      <c r="A9" s="144" t="s">
        <v>51</v>
      </c>
      <c r="B9" s="145"/>
      <c r="C9" s="145"/>
      <c r="D9" s="145"/>
      <c r="E9" s="145"/>
      <c r="F9" s="145"/>
      <c r="G9" s="162"/>
    </row>
    <row r="10" spans="1:12" ht="21" customHeight="1">
      <c r="A10" s="146" t="s">
        <v>18</v>
      </c>
      <c r="B10" s="155">
        <f t="shared" ref="B10:E10" si="0">B7+B8+B9</f>
        <v>0</v>
      </c>
      <c r="C10" s="155">
        <f t="shared" si="0"/>
        <v>0</v>
      </c>
      <c r="D10" s="155">
        <f t="shared" si="0"/>
        <v>0</v>
      </c>
      <c r="E10" s="155">
        <f t="shared" si="0"/>
        <v>0</v>
      </c>
      <c r="F10" s="155">
        <f>F7+F8+F9</f>
        <v>0</v>
      </c>
      <c r="G10" s="156" t="s">
        <v>52</v>
      </c>
      <c r="I10" s="131" t="s">
        <v>53</v>
      </c>
    </row>
    <row r="11" spans="1:12" ht="21" customHeight="1">
      <c r="A11" s="138" t="s">
        <v>54</v>
      </c>
      <c r="B11" s="139"/>
      <c r="C11" s="139"/>
      <c r="D11" s="139"/>
      <c r="E11" s="139"/>
      <c r="F11" s="139"/>
      <c r="G11" s="2" t="s">
        <v>43</v>
      </c>
    </row>
    <row r="12" spans="1:12" ht="21" customHeight="1">
      <c r="A12" s="147" t="s">
        <v>55</v>
      </c>
      <c r="B12" s="148"/>
      <c r="C12" s="149"/>
      <c r="D12" s="148"/>
      <c r="E12" s="148"/>
      <c r="F12" s="148"/>
      <c r="G12" s="163" t="s">
        <v>44</v>
      </c>
    </row>
    <row r="13" spans="1:12" ht="21" customHeight="1">
      <c r="A13" s="147" t="s">
        <v>56</v>
      </c>
      <c r="B13" s="148"/>
      <c r="C13" s="148"/>
      <c r="D13" s="148"/>
      <c r="E13" s="148"/>
      <c r="F13" s="148"/>
      <c r="G13" s="163"/>
    </row>
    <row r="14" spans="1:12" ht="21" customHeight="1">
      <c r="A14" s="147" t="s">
        <v>57</v>
      </c>
      <c r="B14" s="148"/>
      <c r="C14" s="148"/>
      <c r="D14" s="148"/>
      <c r="E14" s="148"/>
      <c r="F14" s="148"/>
      <c r="G14" s="163"/>
    </row>
    <row r="15" spans="1:12" ht="21" customHeight="1">
      <c r="A15" s="144" t="s">
        <v>58</v>
      </c>
      <c r="B15" s="148"/>
      <c r="C15" s="148"/>
      <c r="D15" s="148"/>
      <c r="E15" s="148"/>
      <c r="F15" s="148"/>
      <c r="G15" s="163"/>
      <c r="I15" s="150"/>
    </row>
    <row r="16" spans="1:12" ht="21" customHeight="1">
      <c r="A16" s="144" t="s">
        <v>59</v>
      </c>
      <c r="B16" s="148"/>
      <c r="C16" s="148"/>
      <c r="D16" s="148"/>
      <c r="E16" s="149"/>
      <c r="F16" s="148"/>
      <c r="G16" s="163"/>
    </row>
    <row r="17" spans="1:12" ht="21" customHeight="1">
      <c r="A17" s="147" t="s">
        <v>31</v>
      </c>
      <c r="B17" s="155">
        <f t="shared" ref="B17:E17" si="1">B15+B16</f>
        <v>0</v>
      </c>
      <c r="C17" s="155">
        <f t="shared" si="1"/>
        <v>0</v>
      </c>
      <c r="D17" s="155">
        <f t="shared" si="1"/>
        <v>0</v>
      </c>
      <c r="E17" s="155">
        <f t="shared" si="1"/>
        <v>0</v>
      </c>
      <c r="F17" s="155">
        <f>F15+F16</f>
        <v>0</v>
      </c>
      <c r="G17" s="156" t="s">
        <v>52</v>
      </c>
      <c r="I17" s="151" t="s">
        <v>60</v>
      </c>
    </row>
    <row r="18" spans="1:12" ht="21" customHeight="1">
      <c r="A18" s="147" t="s">
        <v>32</v>
      </c>
      <c r="B18" s="148"/>
      <c r="C18" s="148"/>
      <c r="D18" s="148"/>
      <c r="E18" s="148"/>
      <c r="F18" s="148"/>
      <c r="G18" s="1" t="s">
        <v>44</v>
      </c>
    </row>
    <row r="19" spans="1:12" ht="21" customHeight="1">
      <c r="A19" s="147" t="s">
        <v>61</v>
      </c>
      <c r="B19" s="155">
        <f t="shared" ref="B19:E19" si="2">B17-B18</f>
        <v>0</v>
      </c>
      <c r="C19" s="155">
        <f t="shared" si="2"/>
        <v>0</v>
      </c>
      <c r="D19" s="155">
        <f t="shared" si="2"/>
        <v>0</v>
      </c>
      <c r="E19" s="155">
        <f t="shared" si="2"/>
        <v>0</v>
      </c>
      <c r="F19" s="155">
        <f>F17-F18</f>
        <v>0</v>
      </c>
      <c r="G19" s="156" t="s">
        <v>52</v>
      </c>
      <c r="I19" s="151" t="s">
        <v>62</v>
      </c>
    </row>
    <row r="20" spans="1:12" ht="27.75" customHeight="1">
      <c r="A20" s="138" t="s">
        <v>63</v>
      </c>
      <c r="B20" s="145"/>
      <c r="C20" s="145"/>
      <c r="D20" s="145"/>
      <c r="E20" s="145"/>
      <c r="F20" s="145"/>
      <c r="G20" s="164" t="s">
        <v>45</v>
      </c>
    </row>
    <row r="21" spans="1:12" ht="27.75" customHeight="1">
      <c r="A21" s="138" t="s">
        <v>64</v>
      </c>
      <c r="B21" s="145"/>
      <c r="C21" s="145"/>
      <c r="D21" s="145"/>
      <c r="E21" s="145"/>
      <c r="F21" s="145"/>
      <c r="G21" s="164"/>
    </row>
    <row r="22" spans="1:12" ht="27.75" customHeight="1">
      <c r="A22" s="138" t="s">
        <v>65</v>
      </c>
      <c r="B22" s="145"/>
      <c r="C22" s="145"/>
      <c r="D22" s="145"/>
      <c r="E22" s="145"/>
      <c r="F22" s="145"/>
      <c r="G22" s="164"/>
    </row>
    <row r="24" spans="1:12" ht="15.75" customHeight="1">
      <c r="A24" s="131" t="s">
        <v>66</v>
      </c>
      <c r="G24" s="131"/>
      <c r="L24" s="129"/>
    </row>
    <row r="25" spans="1:12" ht="15.75" customHeight="1">
      <c r="A25" s="129" t="s">
        <v>67</v>
      </c>
    </row>
    <row r="26" spans="1:12" ht="15.75" customHeight="1">
      <c r="A26" s="129" t="s">
        <v>68</v>
      </c>
    </row>
    <row r="27" spans="1:12" ht="15.75" customHeight="1">
      <c r="A27" s="129" t="s">
        <v>69</v>
      </c>
    </row>
  </sheetData>
  <mergeCells count="4">
    <mergeCell ref="G6:G7"/>
    <mergeCell ref="G8:G9"/>
    <mergeCell ref="G12:G16"/>
    <mergeCell ref="G20:G22"/>
  </mergeCells>
  <phoneticPr fontId="42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Summary</vt:lpstr>
      <vt:lpstr>1</vt:lpstr>
      <vt:lpstr>2</vt:lpstr>
      <vt:lpstr>3</vt:lpstr>
      <vt:lpstr>Summary!Print_Area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Changwoo Son</dc:creator>
  <dc:description/>
  <cp:lastModifiedBy>신정빈</cp:lastModifiedBy>
  <cp:revision>17</cp:revision>
  <cp:lastPrinted>2025-04-03T05:07:34Z</cp:lastPrinted>
  <dcterms:created xsi:type="dcterms:W3CDTF">2015-04-28T09:56:11Z</dcterms:created>
  <dcterms:modified xsi:type="dcterms:W3CDTF">2026-04-21T11:29:38Z</dcterms:modified>
  <dc:language>en-US</dc:language>
</cp:coreProperties>
</file>